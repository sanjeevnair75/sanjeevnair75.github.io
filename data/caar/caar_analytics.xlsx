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ll Records" sheetId="2" state="visible" r:id="rId2"/>
    <sheet name="Mumbai_Rulings" sheetId="3" state="visible" r:id="rId3"/>
    <sheet name="Mumbai_Orders" sheetId="4" state="visible" r:id="rId4"/>
    <sheet name="Delhi_Rulings" sheetId="5" state="visible" r:id="rId5"/>
    <sheet name="Delhi_Order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000E0E0E"/>
      <sz val="18"/>
    </font>
    <font>
      <name val="Calibri"/>
      <i val="1"/>
      <color rgb="00666666"/>
      <sz val="10"/>
    </font>
    <font>
      <name val="Calibri"/>
      <b val="1"/>
      <color rgb="00FFFFFF"/>
      <sz val="11"/>
    </font>
    <font>
      <name val="Calibri"/>
      <sz val="10"/>
    </font>
    <font>
      <name val="Calibri"/>
      <color rgb="000563C1"/>
      <sz val="10"/>
      <u val="single"/>
    </font>
    <font>
      <name val="Calibri"/>
      <b val="1"/>
      <color rgb="000E0E0E"/>
      <sz val="22"/>
    </font>
    <font>
      <name val="Calibri"/>
      <b val="1"/>
      <color rgb="00B8974A"/>
      <sz val="12"/>
    </font>
    <font>
      <name val="Calibri"/>
      <b val="1"/>
      <sz val="10"/>
    </font>
    <font>
      <name val="Calibri"/>
      <b val="1"/>
      <color rgb="00B8974A"/>
      <sz val="18"/>
    </font>
    <font>
      <name val="Calibri"/>
      <b val="1"/>
      <color rgb="00B8974A"/>
      <sz val="14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00B8974A"/>
      </patternFill>
    </fill>
  </fills>
  <borders count="2">
    <border>
      <left/>
      <right/>
      <top/>
      <bottom/>
      <diagonal/>
    </border>
    <border>
      <bottom style="medium">
        <color rgb="000E0E0E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164" fontId="0" fillId="0" borderId="0" pivotButton="0" quotePrefix="0" xfId="0"/>
    <xf numFmtId="0" fontId="11" fillId="0" borderId="0" pivotButton="0" quotePrefix="0" xfId="0"/>
    <xf numFmtId="164" fontId="11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cbic.gov.in/content/pdf/CONTENTREPO/CAAR/caar-del-17-20-13052026.pdf" TargetMode="External" Id="rId1" /><Relationship Type="http://schemas.openxmlformats.org/officeDocument/2006/relationships/hyperlink" Target="https://www.cbic.gov.in/content/pdf/CONTENTREPO/CAAR/caar-del-12-16-06052026.pdf" TargetMode="External" Id="rId2" /><Relationship Type="http://schemas.openxmlformats.org/officeDocument/2006/relationships/hyperlink" Target="https://www.cbic.gov.in/content/pdf/CONTENTREPO/CAAR/car-del-05-23042026.pdf" TargetMode="External" Id="rId3" /><Relationship Type="http://schemas.openxmlformats.org/officeDocument/2006/relationships/hyperlink" Target="https://www.cbic.gov.in/content/pdf/CONTENTREPO/CAAR/caar-delhi-rul-Navitasys-01-17042026.pdf" TargetMode="External" Id="rId4" /><Relationship Type="http://schemas.openxmlformats.org/officeDocument/2006/relationships/hyperlink" Target="https://www.cbic.gov.in/content/pdf/CONTENTREPO/CAAR/caar-del-solterra-01-15042026.pdf" TargetMode="External" Id="rId5" /><Relationship Type="http://schemas.openxmlformats.org/officeDocument/2006/relationships/hyperlink" Target="https://www.cbic.gov.in/content/pdf/CONTENTREPO/CAAR/caar-del-132-01042026.pdf" TargetMode="External" Id="rId6" /><Relationship Type="http://schemas.openxmlformats.org/officeDocument/2006/relationships/hyperlink" Target="https://www.cbic.gov.in/content/pdf/CONTENTREPO/CAAR/caar-del-140-30032026.pdf" TargetMode="External" Id="rId7" /><Relationship Type="http://schemas.openxmlformats.org/officeDocument/2006/relationships/hyperlink" Target="https://www.cbic.gov.in/content/pdf/CONTENTREPO/CAAR/caar-del-133-24032026.pdf" TargetMode="External" Id="rId8" /><Relationship Type="http://schemas.openxmlformats.org/officeDocument/2006/relationships/hyperlink" Target="https://www.cbic.gov.in/content/pdf/CONTENTREPO/CAAR/caar-delhi-rul-corri-03022026.pdf" TargetMode="External" Id="rId9" /><Relationship Type="http://schemas.openxmlformats.org/officeDocument/2006/relationships/hyperlink" Target="https://www.cbic.gov.in/content/pdf/CONTENTREPO/CAAR/caar-delhi-rul-111-03022026.pdf" TargetMode="External" Id="rId10" /><Relationship Type="http://schemas.openxmlformats.org/officeDocument/2006/relationships/hyperlink" Target="https://www.cbic.gov.in/content/pdf/CONTENTREPO/CAAR/caar-del-131-03022026.pdf" TargetMode="External" Id="rId11" /><Relationship Type="http://schemas.openxmlformats.org/officeDocument/2006/relationships/hyperlink" Target="https://www.cbic.gov.in/content/pdf/CONTENTREPO/CAAR/caar-del-130-03022026.pdf" TargetMode="External" Id="rId12" /><Relationship Type="http://schemas.openxmlformats.org/officeDocument/2006/relationships/hyperlink" Target="https://www.cbic.gov.in/content/pdf/CONTENTREPO/CAAR/caar-del-128-03022026.pdf" TargetMode="External" Id="rId13" /><Relationship Type="http://schemas.openxmlformats.org/officeDocument/2006/relationships/hyperlink" Target="https://www.cbic.gov.in/content/pdf/CONTENTREPO/CAAR/caar-del-127-03022026.pdf" TargetMode="External" Id="rId14" /><Relationship Type="http://schemas.openxmlformats.org/officeDocument/2006/relationships/hyperlink" Target="https://www.cbic.gov.in/content/pdf/CONTENTREPO/CAAR/car-del-125-02022026.pdf" TargetMode="External" Id="rId15" /><Relationship Type="http://schemas.openxmlformats.org/officeDocument/2006/relationships/hyperlink" Target="https://www.cbic.gov.in/content/pdf/CONTENTREPO/CAAR/car-del-122-02022026.pdf" TargetMode="External" Id="rId16" /><Relationship Type="http://schemas.openxmlformats.org/officeDocument/2006/relationships/hyperlink" Target="https://www.cbic.gov.in/content/pdf/CONTENTREPO/CAAR/caar-delhi-rul-123-21012026.pdf" TargetMode="External" Id="rId17" /><Relationship Type="http://schemas.openxmlformats.org/officeDocument/2006/relationships/hyperlink" Target="https://www.cbic.gov.in/content/pdf/CONTENTREPO/CAAR/caar-del-order-121-16012026.pdf" TargetMode="External" Id="rId18" /><Relationship Type="http://schemas.openxmlformats.org/officeDocument/2006/relationships/hyperlink" Target="https://www.cbic.gov.in/content/pdf/CONTENTREPO/CAAR/car-del-104-09012026.pdf" TargetMode="External" Id="rId19" /><Relationship Type="http://schemas.openxmlformats.org/officeDocument/2006/relationships/hyperlink" Target="https://www.cbic.gov.in/content/pdf/CONTENTREPO/CAAR/car-del-93-09012026.pdf" TargetMode="External" Id="rId20" /><Relationship Type="http://schemas.openxmlformats.org/officeDocument/2006/relationships/hyperlink" Target="https://www.cbic.gov.in/content/pdf/CONTENTREPO/CAAR/car-del-92-09012026.pdf" TargetMode="External" Id="rId21" /><Relationship Type="http://schemas.openxmlformats.org/officeDocument/2006/relationships/hyperlink" Target="https://www.cbic.gov.in/content/pdf/CONTENTREPO/CAAR/car-del-89-09012026.pdf" TargetMode="External" Id="rId22" /><Relationship Type="http://schemas.openxmlformats.org/officeDocument/2006/relationships/hyperlink" Target="https://www.cbic.gov.in/content/pdf/CONTENTREPO/CAAR/car-del-76-09012026.pdf" TargetMode="External" Id="rId23" /><Relationship Type="http://schemas.openxmlformats.org/officeDocument/2006/relationships/hyperlink" Target="https://www.cbic.gov.in/content/pdf/CONTENTREPO/CAAR/car-del-114-06012026.pdf" TargetMode="External" Id="rId24" /><Relationship Type="http://schemas.openxmlformats.org/officeDocument/2006/relationships/hyperlink" Target="https://www.cbic.gov.in/content/pdf/CONTENTREPO/CAAR/car-del-110-06012026.pdf" TargetMode="External" Id="rId25" /><Relationship Type="http://schemas.openxmlformats.org/officeDocument/2006/relationships/hyperlink" Target="https://www.cbic.gov.in/content/pdf/CONTENTREPO/CAAR/car-del-109-06012026.pdf" TargetMode="External" Id="rId26" /><Relationship Type="http://schemas.openxmlformats.org/officeDocument/2006/relationships/hyperlink" Target="https://www.cbic.gov.in/content/pdf/CONTENTREPO/CAAR/car-del-112-113-05012026.pdf" TargetMode="External" Id="rId27" /><Relationship Type="http://schemas.openxmlformats.org/officeDocument/2006/relationships/hyperlink" Target="https://www.cbic.gov.in/content/pdf/CONTENTREPO/VPNcontents/CAAR/caar-del-108-29122025.pdf" TargetMode="External" Id="rId28" /><Relationship Type="http://schemas.openxmlformats.org/officeDocument/2006/relationships/hyperlink" Target="https://www.cbic.gov.in/content/pdf/CONTENTREPO/CAAR/caar-delhi-rul-107-19122025.pdf" TargetMode="External" Id="rId29" /><Relationship Type="http://schemas.openxmlformats.org/officeDocument/2006/relationships/hyperlink" Target="https://www.cbic.gov.in/content/pdf/CONTENTREPO/CAAR/caar-delhi-rul-106-19122025.pdf" TargetMode="External" Id="rId30" /><Relationship Type="http://schemas.openxmlformats.org/officeDocument/2006/relationships/hyperlink" Target="https://www.cbic.gov.in/content/pdf/CONTENTREPO/CAAR/caar-delhi-rul-105-19122025.pdf" TargetMode="External" Id="rId31" /><Relationship Type="http://schemas.openxmlformats.org/officeDocument/2006/relationships/hyperlink" Target="https://www.cbic.gov.in/content/pdf/CONTENTREPO/CAAR/caar-delhi-rul-103-20122025.pdf" TargetMode="External" Id="rId32" /><Relationship Type="http://schemas.openxmlformats.org/officeDocument/2006/relationships/hyperlink" Target="https://www.cbic.gov.in/content/pdf/CONTENTREPO/VPNcontents/CAAR/caar-del-101-29122025.pdf" TargetMode="External" Id="rId33" /><Relationship Type="http://schemas.openxmlformats.org/officeDocument/2006/relationships/hyperlink" Target="https://www.cbic.gov.in/content/pdf/CONTENTREPO/VPNcontents/CAAR/caar-del-100-29122025.pdf" TargetMode="External" Id="rId34" /><Relationship Type="http://schemas.openxmlformats.org/officeDocument/2006/relationships/hyperlink" Target="https://www.cbic.gov.in/content/pdf/CONTENTREPO/VPNcontents/CAAR/caar-del-99-29122025.pdf" TargetMode="External" Id="rId35" /><Relationship Type="http://schemas.openxmlformats.org/officeDocument/2006/relationships/hyperlink" Target="https://www.cbic.gov.in/content/pdf/CONTENTREPO/CAAR/caar-del-98-08122025.pdf" TargetMode="External" Id="rId36" /><Relationship Type="http://schemas.openxmlformats.org/officeDocument/2006/relationships/hyperlink" Target="https://www.cbic.gov.in/content/pdf/CONTENTREPO/CAAR/car-del-97-27112025.pdf" TargetMode="External" Id="rId37" /><Relationship Type="http://schemas.openxmlformats.org/officeDocument/2006/relationships/hyperlink" Target="https://www.cbic.gov.in/content/pdf/CONTENTREPO/CAAR/car-del-96-27112025.pdf" TargetMode="External" Id="rId38" /><Relationship Type="http://schemas.openxmlformats.org/officeDocument/2006/relationships/hyperlink" Target="https://www.cbic.gov.in/content/pdf/CONTENTREPO/CAAR/car-del-95-27112025.pdf" TargetMode="External" Id="rId39" /><Relationship Type="http://schemas.openxmlformats.org/officeDocument/2006/relationships/hyperlink" Target="https://www.cbic.gov.in/content/pdf/CONTENTREPO/CAAR/car-del-94-27112025.pdf" TargetMode="External" Id="rId40" /><Relationship Type="http://schemas.openxmlformats.org/officeDocument/2006/relationships/hyperlink" Target="https://www.cbic.gov.in/content/pdf/CONTENTREPO/CAAR/caar-del-91-21112025.pdf" TargetMode="External" Id="rId41" /><Relationship Type="http://schemas.openxmlformats.org/officeDocument/2006/relationships/hyperlink" Target="https://www.cbic.gov.in/content/pdf/CONTENTREPO/CAAR/caar-del-90-21112025.pdf" TargetMode="External" Id="rId42" /><Relationship Type="http://schemas.openxmlformats.org/officeDocument/2006/relationships/hyperlink" Target="https://www.cbic.gov.in/content/pdf/CONTENTREPO/CAAR/caar-del-roh-85-88-27102025.pdf" TargetMode="External" Id="rId43" /><Relationship Type="http://schemas.openxmlformats.org/officeDocument/2006/relationships/hyperlink" Target="https://www.cbic.gov.in/content/pdf/CONTENTREPO/CAAR/caar-del-roh-81-84-27102025.pdf" TargetMode="External" Id="rId44" /><Relationship Type="http://schemas.openxmlformats.org/officeDocument/2006/relationships/hyperlink" Target="https://www.cbic.gov.in/content/pdf/CONTENTREPO/CAAR/caar-del-roh-77-80-27102025.pdf" TargetMode="External" Id="rId45" /><Relationship Type="http://schemas.openxmlformats.org/officeDocument/2006/relationships/hyperlink" Target="https://www.cbic.gov.in/content/pdf/CONTENTREPO/CAAR/caar-del-samsang-75-16102025.pdf" TargetMode="External" Id="rId46" /><Relationship Type="http://schemas.openxmlformats.org/officeDocument/2006/relationships/hyperlink" Target="https://www.cbic.gov.in/content/pdf/CONTENTREPO/CAAR/caar-del-samkwang-74-16102025.pdf" TargetMode="External" Id="rId47" /><Relationship Type="http://schemas.openxmlformats.org/officeDocument/2006/relationships/hyperlink" Target="https://www.cbic.gov.in/content/pdf/CONTENTREPO/CAAR/car-del-47-13102025.pdf" TargetMode="External" Id="rId48" /><Relationship Type="http://schemas.openxmlformats.org/officeDocument/2006/relationships/hyperlink" Target="https://www.cbic.gov.in/content/pdf/CONTENTREPO/CAAR/caar-del-Bird-72-09102025.pdf" TargetMode="External" Id="rId49" /><Relationship Type="http://schemas.openxmlformats.org/officeDocument/2006/relationships/hyperlink" Target="https://www.cbic.gov.in/content/pdf/CONTENTREPO/CAAR/caar-del-gan-71-09102025.pdf" TargetMode="External" Id="rId50" /><Relationship Type="http://schemas.openxmlformats.org/officeDocument/2006/relationships/hyperlink" Target="https://www.cbic.gov.in/content/pdf/CONTENTREPO/VPNcontents/CAAR/caar-del-68-09102025.pdf" TargetMode="External" Id="rId51" /><Relationship Type="http://schemas.openxmlformats.org/officeDocument/2006/relationships/hyperlink" Target="https://www.cbic.gov.in/content/pdf/CONTENTREPO/CAAR/car-del-40-09102025.pdf" TargetMode="External" Id="rId52" /><Relationship Type="http://schemas.openxmlformats.org/officeDocument/2006/relationships/hyperlink" Target="https://www.cbic.gov.in/content/pdf/CONTENTREPO/CAAR/caar-del-samsug-33-08102025.pdf" TargetMode="External" Id="rId53" /><Relationship Type="http://schemas.openxmlformats.org/officeDocument/2006/relationships/hyperlink" Target="https://www.cbic.gov.in/content/pdf/CONTENTREPO/CAAR/caar-delhi-rul-70-07102025.pdf" TargetMode="External" Id="rId54" /><Relationship Type="http://schemas.openxmlformats.org/officeDocument/2006/relationships/hyperlink" Target="https://www.cbic.gov.in/content/pdf/CONTENTREPO/CAAR/caar-delhi-rul-63-07102025.pdf" TargetMode="External" Id="rId55" /><Relationship Type="http://schemas.openxmlformats.org/officeDocument/2006/relationships/hyperlink" Target="https://www.cbic.gov.in/content/pdf/CONTENTREPO/CAAR/car-del62-22092025.pdf" TargetMode="External" Id="rId56" /><Relationship Type="http://schemas.openxmlformats.org/officeDocument/2006/relationships/hyperlink" Target="https://www.cbic.gov.in/content/pdf/CONTENTREPO/VPNcontents/CAAR/caar-del-46-19082025.pdf" TargetMode="External" Id="rId57" /><Relationship Type="http://schemas.openxmlformats.org/officeDocument/2006/relationships/hyperlink" Target="https://www.cbic.gov.in/content/pdf/CONTENTREPO/VPNcontents/CAAR/caar-del--45-19082025.pdf" TargetMode="External" Id="rId58" /><Relationship Type="http://schemas.openxmlformats.org/officeDocument/2006/relationships/hyperlink" Target="https://www.cbic.gov.in/content/pdf/CONTENTREPO/CAAR/car-del-44-08082025.pdf" TargetMode="External" Id="rId59" /><Relationship Type="http://schemas.openxmlformats.org/officeDocument/2006/relationships/hyperlink" Target="https://www.cbic.gov.in/content/pdf/CONTENTREPO/CAAR/car-del-43-06082025.pdf" TargetMode="External" Id="rId60" /><Relationship Type="http://schemas.openxmlformats.org/officeDocument/2006/relationships/hyperlink" Target="https://www.cbic.gov.in/content/pdf/CONTENTREPO/VPNcontents/CAAR/caar-del-41-25092025.pdf" TargetMode="External" Id="rId61" /><Relationship Type="http://schemas.openxmlformats.org/officeDocument/2006/relationships/hyperlink" Target="https://www.cbic.gov.in/content/pdf/CONTENTREPO/CAAR/del-webtec-11062025.pdf" TargetMode="External" Id="rId62" /><Relationship Type="http://schemas.openxmlformats.org/officeDocument/2006/relationships/hyperlink" Target="https://www.cbic.gov.in/content/pdf/CONTENTREPO/CAAR/del-vivo-11062025.pdf" TargetMode="External" Id="rId63" /><Relationship Type="http://schemas.openxmlformats.org/officeDocument/2006/relationships/hyperlink" Target="https://www.cbic.gov.in/content/pdf/CONTENTREPO/CAAR/caar-del-aptiv-27-14052025.pdf" TargetMode="External" Id="rId64" /><Relationship Type="http://schemas.openxmlformats.org/officeDocument/2006/relationships/hyperlink" Target="https://www.cbic.gov.in/content/pdf/CONTENTREPO/CAAR/caar-del-aptiv-26-14052025.pdf" TargetMode="External" Id="rId65" /><Relationship Type="http://schemas.openxmlformats.org/officeDocument/2006/relationships/hyperlink" Target="https://www.cbic.gov.in/content/pdf/CONTENTREPO/CAAR/caar-del-star-25-21022025.pdf" TargetMode="External" Id="rId66" /><Relationship Type="http://schemas.openxmlformats.org/officeDocument/2006/relationships/hyperlink" Target="https://www.cbic.gov.in/content/pdf/CONTENTREPO/CAAR/caar-del-star-24-21022025.pdf" TargetMode="External" Id="rId67" /><Relationship Type="http://schemas.openxmlformats.org/officeDocument/2006/relationships/hyperlink" Target="https://www.cbic.gov.in/content/pdf/CONTENTREPO/CAAR/caar-del-star-23-21022025.pdf" TargetMode="External" Id="rId68" /><Relationship Type="http://schemas.openxmlformats.org/officeDocument/2006/relationships/hyperlink" Target="https://www.cbic.gov.in/content/pdf/CONTENTREPO/CAAR/caar-delhi-rul-22-21022025.pdf" TargetMode="External" Id="rId69" /><Relationship Type="http://schemas.openxmlformats.org/officeDocument/2006/relationships/hyperlink" Target="https://www.cbic.gov.in/content/pdf/CONTENTREPO/CAAR/caar-delhi-rul-21-21022025.pdf" TargetMode="External" Id="rId70" /><Relationship Type="http://schemas.openxmlformats.org/officeDocument/2006/relationships/hyperlink" Target="https://www.cbic.gov.in/content/pdf/CONTENTREPO/CAAR/caar-del-clarion-19-28012025.pdf" TargetMode="External" Id="rId71" /><Relationship Type="http://schemas.openxmlformats.org/officeDocument/2006/relationships/hyperlink" Target="https://www.cbic.gov.in/content/pdf/CONTENTREPO/CAAR/caar-del-apple-17-28012025.pdf" TargetMode="External" Id="rId72" /><Relationship Type="http://schemas.openxmlformats.org/officeDocument/2006/relationships/hyperlink" Target="https://www.cbic.gov.in/content/pdf/CONTENTREPO/CAAR/caar-del-apple-16-28012025.pdf" TargetMode="External" Id="rId73" /><Relationship Type="http://schemas.openxmlformats.org/officeDocument/2006/relationships/hyperlink" Target="https://www.cbic.gov.in/content/pdf/CONTENTREPO/CAAR/caar-del-apple-15-28012025.pdf" TargetMode="External" Id="rId74" /><Relationship Type="http://schemas.openxmlformats.org/officeDocument/2006/relationships/hyperlink" Target="https://www.cbic.gov.in/content/pdf/CONTENTREPO/CAAR/caar-del-apple-14-28012025.pdf" TargetMode="External" Id="rId75" /><Relationship Type="http://schemas.openxmlformats.org/officeDocument/2006/relationships/hyperlink" Target="https://www.cbic.gov.in/content/pdf/CONTENTREPO/CAAR/caar-del-apple-13-28012025.pdf" TargetMode="External" Id="rId76" /><Relationship Type="http://schemas.openxmlformats.org/officeDocument/2006/relationships/hyperlink" Target="https://www.cbic.gov.in/content/pdf/CONTENTREPO/CAAR/caar-del-apple-12-28012025.pdf" TargetMode="External" Id="rId77" /><Relationship Type="http://schemas.openxmlformats.org/officeDocument/2006/relationships/hyperlink" Target="https://www.cbic.gov.in/content/pdf/CONTENTREPO/CAAR/caar-del-apple-11-28012025.pdf" TargetMode="External" Id="rId78" /><Relationship Type="http://schemas.openxmlformats.org/officeDocument/2006/relationships/hyperlink" Target="https://www.cbic.gov.in/content/pdf/CONTENTREPO/CAAR/caar-del-apple-10-28012025.pdf" TargetMode="External" Id="rId79" /><Relationship Type="http://schemas.openxmlformats.org/officeDocument/2006/relationships/hyperlink" Target="https://www.cbic.gov.in/content/pdf/CONTENTREPO/CAAR/caar-del-apple-09-28012025.pdf" TargetMode="External" Id="rId80" /><Relationship Type="http://schemas.openxmlformats.org/officeDocument/2006/relationships/hyperlink" Target="https://www.cbic.gov.in/content/pdf/CONTENTREPO/CAAR/caar-del-apple-08-28012025.pdf" TargetMode="External" Id="rId81" /><Relationship Type="http://schemas.openxmlformats.org/officeDocument/2006/relationships/hyperlink" Target="https://www.cbic.gov.in/content/pdf/CONTENTREPO/CAAR/caar-del-apple-07-28012025.pdf" TargetMode="External" Id="rId82" /><Relationship Type="http://schemas.openxmlformats.org/officeDocument/2006/relationships/hyperlink" Target="https://www.cbic.gov.in/content/pdf/CONTENTREPO/CAAR/caar-del-apple-06-28012025.pdf" TargetMode="External" Id="rId83" /><Relationship Type="http://schemas.openxmlformats.org/officeDocument/2006/relationships/hyperlink" Target="https://www.cbic.gov.in/content/pdf/CONTENTREPO/CAAR/caar-del-akam-05-20012025.pdf" TargetMode="External" Id="rId84" /><Relationship Type="http://schemas.openxmlformats.org/officeDocument/2006/relationships/hyperlink" Target="https://www.cbic.gov.in/content/pdf/CONTENTREPO/CAAR/caar-delhi-kodarama-13012025.pdf" TargetMode="External" Id="rId85" /><Relationship Type="http://schemas.openxmlformats.org/officeDocument/2006/relationships/hyperlink" Target="https://www.cbic.gov.in/content/pdf/CONTENTREPO/CAAR/caar-delhi-13jan2025.pdf" TargetMode="External" Id="rId86" /><Relationship Type="http://schemas.openxmlformats.org/officeDocument/2006/relationships/hyperlink" Target="https://www.cbic.gov.in/content/pdf/CONTENTREPO/CAAR/caar-delhi-13012025.pdf" TargetMode="External" Id="rId87" /><Relationship Type="http://schemas.openxmlformats.org/officeDocument/2006/relationships/hyperlink" Target="https://www.cbic.gov.in/content/pdf/CONTENTREPO/CAAR/caar-del-star-122-03012025.pdf" TargetMode="External" Id="rId88" /><Relationship Type="http://schemas.openxmlformats.org/officeDocument/2006/relationships/hyperlink" Target="https://www.cbic.gov.in/content/pdf/CONTENTREPO/CAAR/CAAR-Danisco-121-2024.pdf" TargetMode="External" Id="rId89" /><Relationship Type="http://schemas.openxmlformats.org/officeDocument/2006/relationships/hyperlink" Target="https://www.cbic.gov.in/content/pdf/CONTENTREPO/CAAR/CAAR-Danisco-120-2024.pdf" TargetMode="External" Id="rId90" /><Relationship Type="http://schemas.openxmlformats.org/officeDocument/2006/relationships/hyperlink" Target="https://www.cbic.gov.in/content/pdf/CONTENTREPO/CAAR/CAAR-Danisco-119-2024.pdf" TargetMode="External" Id="rId91" /><Relationship Type="http://schemas.openxmlformats.org/officeDocument/2006/relationships/hyperlink" Target="https://www.cbic.gov.in/content/pdf/CONTENTREPO/CAAR/caar-delhi-rul-118-31122024.pdf" TargetMode="External" Id="rId92" /><Relationship Type="http://schemas.openxmlformats.org/officeDocument/2006/relationships/hyperlink" Target="https://www.cbic.gov.in/content/pdf/CONTENTREPO/CAAR/caar-delhi-rul-117-31122024.pdf" TargetMode="External" Id="rId93" /><Relationship Type="http://schemas.openxmlformats.org/officeDocument/2006/relationships/hyperlink" Target="https://www.cbic.gov.in/content/pdf/CONTENTREPO/CAAR/caar-delhi-116-2024.pdf" TargetMode="External" Id="rId94" /><Relationship Type="http://schemas.openxmlformats.org/officeDocument/2006/relationships/hyperlink" Target="https://www.cbic.gov.in/content/pdf/CONTENTREPO/CAAR/caar-del-115-2024.pdf" TargetMode="External" Id="rId95" /><Relationship Type="http://schemas.openxmlformats.org/officeDocument/2006/relationships/hyperlink" Target="https://www.cbic.gov.in/content/pdf/CONTENTREPO/CAAR/caar-del-114-2024.pdf" TargetMode="External" Id="rId96" /><Relationship Type="http://schemas.openxmlformats.org/officeDocument/2006/relationships/hyperlink" Target="https://www.cbic.gov.in/content/pdf/CONTENTREPO/CAAR/caar-samsung-113-2024.pdf" TargetMode="External" Id="rId97" /><Relationship Type="http://schemas.openxmlformats.org/officeDocument/2006/relationships/hyperlink" Target="https://www.cbic.gov.in/content/pdf/CONTENTREPO/CAAR/caar-lujee-112-2024.pdf" TargetMode="External" Id="rId98" /><Relationship Type="http://schemas.openxmlformats.org/officeDocument/2006/relationships/hyperlink" Target="https://www.cbic.gov.in/content/pdf/CONTENTREPO/CAAR/caar-lujee-111-2024.pdf" TargetMode="External" Id="rId99" /><Relationship Type="http://schemas.openxmlformats.org/officeDocument/2006/relationships/hyperlink" Target="https://www.cbic.gov.in/content/pdf/CONTENTREPO/CAAR/caar-lujee-110-2024.pdf" TargetMode="External" Id="rId100" /><Relationship Type="http://schemas.openxmlformats.org/officeDocument/2006/relationships/hyperlink" Target="https://www.cbic.gov.in/content/pdf/CONTENTREPO/CAAR/caar-delhi-rul-109-26122024.pdf" TargetMode="External" Id="rId101" /><Relationship Type="http://schemas.openxmlformats.org/officeDocument/2006/relationships/hyperlink" Target="https://www.cbic.gov.in/content/pdf/CONTENTREPO/CAAR/caar-delhi-rul-108-26122024.pdf" TargetMode="External" Id="rId102" /><Relationship Type="http://schemas.openxmlformats.org/officeDocument/2006/relationships/hyperlink" Target="https://www.cbic.gov.in/content/pdf/CONTENTREPO/CAAR/caar-delhi-rul-107-26122024.pdf" TargetMode="External" Id="rId103" /><Relationship Type="http://schemas.openxmlformats.org/officeDocument/2006/relationships/hyperlink" Target="https://www.cbic.gov.in/content/pdf/CONTENTREPO/CAAR/caar-delhi-rul-106-26122024.pdf" TargetMode="External" Id="rId104" /><Relationship Type="http://schemas.openxmlformats.org/officeDocument/2006/relationships/hyperlink" Target="https://www.cbic.gov.in/content/pdf/CONTENTREPO/CAAR/caar-delhi-rul-105-26122024.pdf" TargetMode="External" Id="rId105" /><Relationship Type="http://schemas.openxmlformats.org/officeDocument/2006/relationships/hyperlink" Target="https://www.cbic.gov.in/content/pdf/CONTENTREPO/CAAR/caar-delhi-rul-104-26122024.pdf" TargetMode="External" Id="rId106" /><Relationship Type="http://schemas.openxmlformats.org/officeDocument/2006/relationships/hyperlink" Target="https://www.cbic.gov.in/content/pdf/CONTENTREPO/CAAR/caar-delhi-rul-103-26122024.pdf" TargetMode="External" Id="rId107" /><Relationship Type="http://schemas.openxmlformats.org/officeDocument/2006/relationships/hyperlink" Target="https://www.cbic.gov.in/content/pdf/CONTENTREPO/CAAR/caar-delhi-rul-102-26122024.pdf" TargetMode="External" Id="rId108" /><Relationship Type="http://schemas.openxmlformats.org/officeDocument/2006/relationships/hyperlink" Target="https://www.cbic.gov.in/content/pdf/CONTENTREPO/CAAR/caar-delhi-rul-101-26122024.pdf" TargetMode="External" Id="rId109" /><Relationship Type="http://schemas.openxmlformats.org/officeDocument/2006/relationships/hyperlink" Target="https://www.cbic.gov.in/content/pdf/CONTENTREPO/CAAR/caar-delhi-rul-100-26122024.pdf" TargetMode="External" Id="rId110" /><Relationship Type="http://schemas.openxmlformats.org/officeDocument/2006/relationships/hyperlink" Target="https://www.cbic.gov.in/content/pdf/CONTENTREPO/CAAR/caar-del-99-Plumage-23122024.pdf" TargetMode="External" Id="rId111" /><Relationship Type="http://schemas.openxmlformats.org/officeDocument/2006/relationships/hyperlink" Target="https://www.cbic.gov.in/content/pdf/CONTENTREPO/CAAR/caar-del-98-Plumage-23122024.pdf" TargetMode="External" Id="rId112" /><Relationship Type="http://schemas.openxmlformats.org/officeDocument/2006/relationships/hyperlink" Target="https://www.cbic.gov.in/content/pdf/CONTENTREPO/CAAR/corr-car-del-dans-02012025.pdf" TargetMode="External" Id="rId113" /><Relationship Type="http://schemas.openxmlformats.org/officeDocument/2006/relationships/hyperlink" Target="https://www.cbic.gov.in/content/pdf/CONTENTREPO/CAAR/Lujee95_13122024.pdf" TargetMode="External" Id="rId114" /><Relationship Type="http://schemas.openxmlformats.org/officeDocument/2006/relationships/hyperlink" Target="https://www.cbic.gov.in/content/pdf/CONTENTREPO/CAAR/Winone_13122024.pdf" TargetMode="External" Id="rId115" /><Relationship Type="http://schemas.openxmlformats.org/officeDocument/2006/relationships/hyperlink" Target="https://www.cbic.gov.in/content/pdf/CONTENTREPO/CAAR/caar-oppo-mobiles-india-10122024.pdf" TargetMode="External" Id="rId116" /><Relationship Type="http://schemas.openxmlformats.org/officeDocument/2006/relationships/hyperlink" Target="https://www.cbic.gov.in/content/pdf/CONTENTREPO/CAAR/star92_09122024.pdf" TargetMode="External" Id="rId117" /><Relationship Type="http://schemas.openxmlformats.org/officeDocument/2006/relationships/hyperlink" Target="https://www.cbic.gov.in/content/pdf/CONTENTREPO/CAAR/nk90_09122024.pdf" TargetMode="External" Id="rId118" /><Relationship Type="http://schemas.openxmlformats.org/officeDocument/2006/relationships/hyperlink" Target="https://www.cbic.gov.in/content/pdf/CONTENTREPO/CAAR/shri91_09122024.pdf" TargetMode="External" Id="rId119" /><Relationship Type="http://schemas.openxmlformats.org/officeDocument/2006/relationships/hyperlink" Target="https://www.cbic.gov.in/content/pdf/CONTENTREPO/CAAR/CAAR-Del-Winone-Precision-89-2024.pdf" TargetMode="External" Id="rId120" /><Relationship Type="http://schemas.openxmlformats.org/officeDocument/2006/relationships/hyperlink" Target="https://www.cbic.gov.in/content/pdf/CONTENTREPO/CAAR/Lujee_87_24092024.pdf" TargetMode="External" Id="rId121" /><Relationship Type="http://schemas.openxmlformats.org/officeDocument/2006/relationships/hyperlink" Target="https://www.cbic.gov.in/content/pdf/CONTENTREPO/CAAR/nk_86_24092024.pdf" TargetMode="External" Id="rId122" /><Relationship Type="http://schemas.openxmlformats.org/officeDocument/2006/relationships/hyperlink" Target="https://www.cbic.gov.in/content/pdf/CONTENTREPO/CAAR/Lujee2_24092024.pdf" TargetMode="External" Id="rId123" /><Relationship Type="http://schemas.openxmlformats.org/officeDocument/2006/relationships/hyperlink" Target="https://www.cbic.gov.in/content/pdf/CONTENTREPO/CAAR/Lujee1_24092024.pdf" TargetMode="External" Id="rId124" /><Relationship Type="http://schemas.openxmlformats.org/officeDocument/2006/relationships/hyperlink" Target="https://www.cbic.gov.in/content/pdf/CONTENTREPO/CAAR/Lujee_ruling_22112024.pdf" TargetMode="External" Id="rId125" /><Relationship Type="http://schemas.openxmlformats.org/officeDocument/2006/relationships/hyperlink" Target="https://www.cbic.gov.in/content/pdf/CONTENTREPO/CAAR/caar-rul-delhi-83-21112024.pdf" TargetMode="External" Id="rId126" /><Relationship Type="http://schemas.openxmlformats.org/officeDocument/2006/relationships/hyperlink" Target="https://www.cbic.gov.in/content/pdf/CONTENTREPO/CAAR/caar-rul-delhi-82-21112024.pdf" TargetMode="External" Id="rId127" /><Relationship Type="http://schemas.openxmlformats.org/officeDocument/2006/relationships/hyperlink" Target="https://www.cbic.gov.in/content/pdf/CONTENTREPO/CAAR/caar-rul-delhi-81-21112024.pdf" TargetMode="External" Id="rId128" /><Relationship Type="http://schemas.openxmlformats.org/officeDocument/2006/relationships/hyperlink" Target="https://www.cbic.gov.in/content/pdf/CONTENTREPO/CAAR/caar-rul-delhi-80-05112024.pdf" TargetMode="External" Id="rId129" /><Relationship Type="http://schemas.openxmlformats.org/officeDocument/2006/relationships/hyperlink" Target="https://www.cbic.gov.in/content/pdf/CONTENTREPO/CAAR/caar-rul-delhi-79-05112024.pdf" TargetMode="External" Id="rId130" /><Relationship Type="http://schemas.openxmlformats.org/officeDocument/2006/relationships/hyperlink" Target="https://www.cbic.gov.in/content/pdf/CONTENTREPO/CAAR/caar-rul-delhi-78-05112024.pdf" TargetMode="External" Id="rId131" /><Relationship Type="http://schemas.openxmlformats.org/officeDocument/2006/relationships/hyperlink" Target="https://www.cbic.gov.in/content/pdf/CONTENTREPO/CAAR/caar-rul-delhi-77-05112024.pdf" TargetMode="External" Id="rId132" /><Relationship Type="http://schemas.openxmlformats.org/officeDocument/2006/relationships/hyperlink" Target="https://www.cbic.gov.in/content/pdf/CONTENTREPO/CAAR/caar-rul-delhi-76-05112024.pdf" TargetMode="External" Id="rId133" /><Relationship Type="http://schemas.openxmlformats.org/officeDocument/2006/relationships/hyperlink" Target="https://www.cbic.gov.in/content/pdf/CONTENTREPO/CAAR/caar-rul-delhi-75-05112024.pdf" TargetMode="External" Id="rId134" /><Relationship Type="http://schemas.openxmlformats.org/officeDocument/2006/relationships/hyperlink" Target="https://www.cbic.gov.in/content/pdf/CONTENTREPO/CAAR/caar-rul-delhi-74-05112024.pdf" TargetMode="External" Id="rId135" /><Relationship Type="http://schemas.openxmlformats.org/officeDocument/2006/relationships/hyperlink" Target="https://www.cbic.gov.in/content/pdf/CONTENTREPO/CAAR/caar-rul-delhi-73-05112024.pdf" TargetMode="External" Id="rId136" /><Relationship Type="http://schemas.openxmlformats.org/officeDocument/2006/relationships/hyperlink" Target="https://www.cbic.gov.in/content/pdf/CONTENTREPO/CAAR/caar-rul-delhi-72-05112024.pdf" TargetMode="External" Id="rId137" /><Relationship Type="http://schemas.openxmlformats.org/officeDocument/2006/relationships/hyperlink" Target="https://www.cbic.gov.in/content/pdf/CONTENTREPO/CAAR/caar-del-70-morya-18102024.pdf" TargetMode="External" Id="rId138" /><Relationship Type="http://schemas.openxmlformats.org/officeDocument/2006/relationships/hyperlink" Target="https://www.cbic.gov.in/content/pdf/CONTENTREPO/CAAR/caar-del-69-cuth-17102024.pdf" TargetMode="External" Id="rId139" /><Relationship Type="http://schemas.openxmlformats.org/officeDocument/2006/relationships/hyperlink" Target="https://www.cbic.gov.in/content/pdf/CONTENTREPO/CAAR/caar-del-68-cuth-17102024.pdf" TargetMode="External" Id="rId140" /><Relationship Type="http://schemas.openxmlformats.org/officeDocument/2006/relationships/hyperlink" Target="https://www.cbic.gov.in/content/pdf/CONTENTREPO/CAAR/caar-del-67-dani-21102024.pdf" TargetMode="External" Id="rId141" /><Relationship Type="http://schemas.openxmlformats.org/officeDocument/2006/relationships/hyperlink" Target="https://www.cbic.gov.in/content/pdf/CONTENTREPO/CAAR/caar-del-66-dani-21102024.pdf" TargetMode="External" Id="rId142" /><Relationship Type="http://schemas.openxmlformats.org/officeDocument/2006/relationships/hyperlink" Target="https://www.cbic.gov.in/content/pdf/CONTENTREPO/CAAR/caar-del-65-dani-21102024.pdf" TargetMode="External" Id="rId143" /><Relationship Type="http://schemas.openxmlformats.org/officeDocument/2006/relationships/hyperlink" Target="https://www.cbic.gov.in/content/pdf/CONTENTREPO/CAAR/caar-del-64-danI-17102024.pdf" TargetMode="External" Id="rId144" /><Relationship Type="http://schemas.openxmlformats.org/officeDocument/2006/relationships/hyperlink" Target="https://www.cbic.gov.in/content/pdf/CONTENTREPO/CAAR/caar-del-63-Arista-17102024.pdf" TargetMode="External" Id="rId145" /><Relationship Type="http://schemas.openxmlformats.org/officeDocument/2006/relationships/hyperlink" Target="https://www.cbic.gov.in/content/pdf/CONTENTREPO/CAAR/caar-del-63-09102024.pdf" TargetMode="External" Id="rId146" /><Relationship Type="http://schemas.openxmlformats.org/officeDocument/2006/relationships/hyperlink" Target="https://www.cbic.gov.in/content/pdf/CONTENTREPO/CAAR/caar-rul-delhi-61-07102024.pdf" TargetMode="External" Id="rId147" /><Relationship Type="http://schemas.openxmlformats.org/officeDocument/2006/relationships/hyperlink" Target="https://www.cbic.gov.in/content/pdf/CONTENTREPO/CAAR/caar-rul-delhi-60-07102024.pdf" TargetMode="External" Id="rId148" /><Relationship Type="http://schemas.openxmlformats.org/officeDocument/2006/relationships/hyperlink" Target="https://www.cbic.gov.in/content/pdf/CONTENTREPO/CAAR/caar-rul-delhi-59-07102024.pdf" TargetMode="External" Id="rId149" /><Relationship Type="http://schemas.openxmlformats.org/officeDocument/2006/relationships/hyperlink" Target="https://www.cbic.gov.in/content/pdf/CONTENTREPO/CAAR/caar-rul-delhi-58-07102024.pdf" TargetMode="External" Id="rId150" /><Relationship Type="http://schemas.openxmlformats.org/officeDocument/2006/relationships/hyperlink" Target="https://www.cbic.gov.in/content/pdf/CONTENTREPO/CAAR/caar-rul-delhi-57-07102024.pdf" TargetMode="External" Id="rId151" /><Relationship Type="http://schemas.openxmlformats.org/officeDocument/2006/relationships/hyperlink" Target="https://www.cbic.gov.in/content/pdf/CONTENTREPO/CAAR/caar-rul-delhi-56-07102024.pdf" TargetMode="External" Id="rId152" /><Relationship Type="http://schemas.openxmlformats.org/officeDocument/2006/relationships/hyperlink" Target="https://www.cbic.gov.in/content/pdf/CONTENTREPO/CAAR/Rawder_ruling_24092024.pdf" TargetMode="External" Id="rId153" /><Relationship Type="http://schemas.openxmlformats.org/officeDocument/2006/relationships/hyperlink" Target="https://www.cbic.gov.in/content/pdf/CONTENTREPO/CAAR/caar-del-54-25092024.pdf" TargetMode="External" Id="rId154" /><Relationship Type="http://schemas.openxmlformats.org/officeDocument/2006/relationships/hyperlink" Target="https://www.cbic.gov.in/content/pdf/CONTENTREPO/CAAR/caar-del-53-25092024.pdf" TargetMode="External" Id="rId155" /><Relationship Type="http://schemas.openxmlformats.org/officeDocument/2006/relationships/hyperlink" Target="https://www.cbic.gov.in/content/pdf/CONTENTREPO/CAAR/cuthbert_ruling_24092024.pdf" TargetMode="External" Id="rId156" /><Relationship Type="http://schemas.openxmlformats.org/officeDocument/2006/relationships/hyperlink" Target="https://www.cbic.gov.in/content/pdf/CONTENTREPO/CAAR/caar-del-51-RV-17092024.pdf" TargetMode="External" Id="rId157" /><Relationship Type="http://schemas.openxmlformats.org/officeDocument/2006/relationships/hyperlink" Target="https://www.cbic.gov.in/content/pdf/CONTENTREPO/CAAR/caar-delhi-50-13092024.pdf" TargetMode="External" Id="rId158" /><Relationship Type="http://schemas.openxmlformats.org/officeDocument/2006/relationships/hyperlink" Target="https://www.cbic.gov.in/content/pdf/CONTENTREPO/CAAR/caar-delhi-49-13092024.pdf" TargetMode="External" Id="rId159" /><Relationship Type="http://schemas.openxmlformats.org/officeDocument/2006/relationships/hyperlink" Target="https://www.cbic.gov.in/content/pdf/CONTENTREPO/CAAR/caar-del-48-03092024.pdf" TargetMode="External" Id="rId160" /><Relationship Type="http://schemas.openxmlformats.org/officeDocument/2006/relationships/hyperlink" Target="https://www.cbic.gov.in/content/pdf/CONTENTREPO/CAAR/caar-del-47-03092024.pdf" TargetMode="External" Id="rId161" /><Relationship Type="http://schemas.openxmlformats.org/officeDocument/2006/relationships/hyperlink" Target="https://www.cbic.gov.in/content/pdf/CONTENTREPO/CAAR/caar-delhi-46-updated-17092024.pdf" TargetMode="External" Id="rId162" /><Relationship Type="http://schemas.openxmlformats.org/officeDocument/2006/relationships/hyperlink" Target="https://www.cbic.gov.in/content/pdf/CONTENTREPO/CAAR/caar-delhi-45-updated-17092024.pdf" TargetMode="External" Id="rId163" /><Relationship Type="http://schemas.openxmlformats.org/officeDocument/2006/relationships/hyperlink" Target="https://www.cbic.gov.in/content/pdf/CONTENTREPO/CAAR/caar-del-44-11092024.pdf" TargetMode="External" Id="rId164" /><Relationship Type="http://schemas.openxmlformats.org/officeDocument/2006/relationships/hyperlink" Target="https://www.cbic.gov.in/content/pdf/CONTENTREPO/CAAR/caar-del-43-11092024.pdf" TargetMode="External" Id="rId165" /><Relationship Type="http://schemas.openxmlformats.org/officeDocument/2006/relationships/hyperlink" Target="https://www.cbic.gov.in/content/pdf/CONTENTREPO/CAAR/caar-del-42-11092024.pdf" TargetMode="External" Id="rId166" /><Relationship Type="http://schemas.openxmlformats.org/officeDocument/2006/relationships/hyperlink" Target="https://www.cbic.gov.in/content/pdf/CONTENTREPO/CAAR/lujee-41-20082024.pdf" TargetMode="External" Id="rId167" /><Relationship Type="http://schemas.openxmlformats.org/officeDocument/2006/relationships/hyperlink" Target="https://www.cbic.gov.in/content/pdf/CONTENTREPO/CAAR/bmw-del-40-20082024.pdf" TargetMode="External" Id="rId168" /><Relationship Type="http://schemas.openxmlformats.org/officeDocument/2006/relationships/hyperlink" Target="https://www.cbic.gov.in/content/pdf/CONTENTREPO/CAAR/caar-del-39-lujee-08082024.pdf" TargetMode="External" Id="rId169" /><Relationship Type="http://schemas.openxmlformats.org/officeDocument/2006/relationships/hyperlink" Target="https://www.cbic.gov.in/content/pdf/CONTENTREPO/CAAR/car-del-37-01082024.pdf" TargetMode="External" Id="rId170" /><Relationship Type="http://schemas.openxmlformats.org/officeDocument/2006/relationships/hyperlink" Target="https://www.cbic.gov.in/content/pdf/CONTENTREPO/CAAR/car-del-36-01082024.pdf" TargetMode="External" Id="rId171" /><Relationship Type="http://schemas.openxmlformats.org/officeDocument/2006/relationships/hyperlink" Target="https://www.cbic.gov.in/content/pdf/CONTENTREPO/CAAR/car-del-35-01082024.pdf" TargetMode="External" Id="rId172" /><Relationship Type="http://schemas.openxmlformats.org/officeDocument/2006/relationships/hyperlink" Target="https://www.cbic.gov.in/content/pdf/CONTENTREPO/CAAR/car-del-34-01082024.pdf" TargetMode="External" Id="rId173" /><Relationship Type="http://schemas.openxmlformats.org/officeDocument/2006/relationships/hyperlink" Target="https://www.cbic.gov.in/content/pdf/CONTENTREPO/CAAR/classification-caar-delhi-19072024.pdf" TargetMode="External" Id="rId174" /><Relationship Type="http://schemas.openxmlformats.org/officeDocument/2006/relationships/hyperlink" Target="https://www.cbic.gov.in/content/pdf/CONTENTREPO/CAAR/di_pec_31.pdf" TargetMode="External" Id="rId175" /><Relationship Type="http://schemas.openxmlformats.org/officeDocument/2006/relationships/hyperlink" Target="https://www.cbic.gov.in/content/pdf/CONTENTREPO/CAAR/Exim.pdf" TargetMode="External" Id="rId176" /><Relationship Type="http://schemas.openxmlformats.org/officeDocument/2006/relationships/hyperlink" Target="https://www.cbic.gov.in/content/pdf/CONTENTREPO/CAAR/Prenda-creations_updated_03072024.pdf" TargetMode="External" Id="rId177" /><Relationship Type="http://schemas.openxmlformats.org/officeDocument/2006/relationships/hyperlink" Target="https://www.cbic.gov.in/content/pdf/CONTENTREPO/CAAR/ShreeHari_Ananta_Overseas_updated_03072024.pdf" TargetMode="External" Id="rId178" /><Relationship Type="http://schemas.openxmlformats.org/officeDocument/2006/relationships/hyperlink" Target="https://www.cbic.gov.in/content/pdf/CONTENTREPO/CAAR/caar-del-25-Denso-10062024.pdf" TargetMode="External" Id="rId179" /><Relationship Type="http://schemas.openxmlformats.org/officeDocument/2006/relationships/hyperlink" Target="https://www.cbic.gov.in/content/pdf/CONTENTREPO/CAAR/caar-del-24-Denso-10062024.pdf" TargetMode="External" Id="rId180" /><Relationship Type="http://schemas.openxmlformats.org/officeDocument/2006/relationships/hyperlink" Target="https://www.cbic.gov.in/content/pdf/CONTENTREPO/CAAR/caar-del-23-Denso-10062024.pdf" TargetMode="External" Id="rId181" /><Relationship Type="http://schemas.openxmlformats.org/officeDocument/2006/relationships/hyperlink" Target="https://www.cbic.gov.in/content/pdf/CONTENTREPO/CAAR/caar-del-samsung-delhi-22-06062024.pdf" TargetMode="External" Id="rId182" /><Relationship Type="http://schemas.openxmlformats.org/officeDocument/2006/relationships/hyperlink" Target="https://www.cbic.gov.in/content/pdf/CONTENTREPO/CAAR/caar-del-denso-18-05062024.pdf" TargetMode="External" Id="rId183" /><Relationship Type="http://schemas.openxmlformats.org/officeDocument/2006/relationships/hyperlink" Target="https://www.cbic.gov.in/content/pdf/CONTENTREPO/CAAR/denso-ruling-18062024-delhi.pdf" TargetMode="External" Id="rId184" /><Relationship Type="http://schemas.openxmlformats.org/officeDocument/2006/relationships/hyperlink" Target="https://www.cbic.gov.in/content/pdf/CONTENTREPO/CAAR/caar-del-19-vaibhav-28052024.pdf" TargetMode="External" Id="rId185" /><Relationship Type="http://schemas.openxmlformats.org/officeDocument/2006/relationships/hyperlink" Target="https://www.cbic.gov.in/content/pdf/CONTENTREPO/CAAR/caar-del-18-exim-28052024.pdf" TargetMode="External" Id="rId186" /><Relationship Type="http://schemas.openxmlformats.org/officeDocument/2006/relationships/hyperlink" Target="https://www.cbic.gov.in/content/pdf/CONTENTREPO/CAAR/Elentec-India-Pvt-Ltd-22may2024.pdf" TargetMode="External" Id="rId187" /><Relationship Type="http://schemas.openxmlformats.org/officeDocument/2006/relationships/hyperlink" Target="https://www.cbic.gov.in/content/pdf/CONTENTREPO/CAAR/car-del-16-hari-21082024.pdf" TargetMode="External" Id="rId188" /><Relationship Type="http://schemas.openxmlformats.org/officeDocument/2006/relationships/hyperlink" Target="https://www.cbic.gov.in/content/pdf/CONTENTREPO/CAAR/caar-del-15-rv-intl-14052024.pdf" TargetMode="External" Id="rId189" /><Relationship Type="http://schemas.openxmlformats.org/officeDocument/2006/relationships/hyperlink" Target="https://www.cbic.gov.in/content/pdf/CONTENTREPO/CAAR/caar-del-14-vapa-14052024.pdf" TargetMode="External" Id="rId190" /><Relationship Type="http://schemas.openxmlformats.org/officeDocument/2006/relationships/hyperlink" Target="https://www.cbic.gov.in/content/pdf/CONTENTREPO/CAAR/Vaibhav-Ent-Ruling.pdf" TargetMode="External" Id="rId191" /><Relationship Type="http://schemas.openxmlformats.org/officeDocument/2006/relationships/hyperlink" Target="https://www.cbic.gov.in/content/pdf/CONTENTREPO/CAAR/Ms-Vivo-Mobile-India-Pvt-Ltd-updated-03052024.pdf" TargetMode="External" Id="rId192" /><Relationship Type="http://schemas.openxmlformats.org/officeDocument/2006/relationships/hyperlink" Target="https://www.cbic.gov.in/content/pdf/CONTENTREPO/CAAR/shriprop-ruling-28mar2024.pdf" TargetMode="External" Id="rId193" /><Relationship Type="http://schemas.openxmlformats.org/officeDocument/2006/relationships/hyperlink" Target="https://www.cbic.gov.in/content/pdf/CONTENTREPO/CAAR/caar-del-one-trade-07mar2024.pdf" TargetMode="External" Id="rId194" /><Relationship Type="http://schemas.openxmlformats.org/officeDocument/2006/relationships/hyperlink" Target="https://www.cbic.gov.in/content/pdf/CONTENTREPO/CAAR/perfect-Trading-Rulings.pdf" TargetMode="External" Id="rId195" /><Relationship Type="http://schemas.openxmlformats.org/officeDocument/2006/relationships/hyperlink" Target="https://www.cbic.gov.in/content/pdf/CONTENTREPO/CAAR/caar-del-narang-28feb2024.pdf" TargetMode="External" Id="rId196" /><Relationship Type="http://schemas.openxmlformats.org/officeDocument/2006/relationships/hyperlink" Target="https://www.cbic.gov.in/content/pdf/CONTENTREPO/CAAR/vivo-caar-mumbai-ruling-01022024.pdf" TargetMode="External" Id="rId197" /><Relationship Type="http://schemas.openxmlformats.org/officeDocument/2006/relationships/hyperlink" Target="https://www.cbic.gov.in/content/pdf/CONTENTREPO/CAAR/caar-del-01-09012024.pdf" TargetMode="External" Id="rId198" /><Relationship Type="http://schemas.openxmlformats.org/officeDocument/2006/relationships/hyperlink" Target="https://www.cbic.gov.in/content/pdf/CONTENTREPO/CAAR/caar-del-02-09012024.pdf" TargetMode="External" Id="rId199" /><Relationship Type="http://schemas.openxmlformats.org/officeDocument/2006/relationships/hyperlink" Target="https://www.cbic.gov.in/content/pdf/CONTENTREPO/CAAR/car-delhi-boston-36.pdf" TargetMode="External" Id="rId200" /><Relationship Type="http://schemas.openxmlformats.org/officeDocument/2006/relationships/hyperlink" Target="https://www.cbic.gov.in/content/pdf/CONTENTREPO/CAAR/caar-del-solae-35-15dec2023.pdf" TargetMode="External" Id="rId201" /><Relationship Type="http://schemas.openxmlformats.org/officeDocument/2006/relationships/hyperlink" Target="https://www.cbic.gov.in/content/pdf/CONTENTREPO/CAAR/caar-del-vivo-34-13dec2023.pdf" TargetMode="External" Id="rId202" /><Relationship Type="http://schemas.openxmlformats.org/officeDocument/2006/relationships/hyperlink" Target="https://www.cbic.gov.in/content/pdf/CONTENTREPO/CAAR/caar-del-vivo-33-23aug2024.pdf" TargetMode="External" Id="rId203" /><Relationship Type="http://schemas.openxmlformats.org/officeDocument/2006/relationships/hyperlink" Target="https://www.cbic.gov.in/content/pdf/CONTENTREPO/CAAR/caar-del-bluestar-32-06122023.pdf" TargetMode="External" Id="rId204" /><Relationship Type="http://schemas.openxmlformats.org/officeDocument/2006/relationships/hyperlink" Target="https://www.cbic.gov.in/content/pdf/CONTENTREPO/CAAR/caar-del-superton-31-04122023.pdf" TargetMode="External" Id="rId205" /><Relationship Type="http://schemas.openxmlformats.org/officeDocument/2006/relationships/hyperlink" Target="https://www.cbic.gov.in/content/pdf/CONTENTREPO/CAAR/yubico-ruling-01122023.pdf" TargetMode="External" Id="rId206" /><Relationship Type="http://schemas.openxmlformats.org/officeDocument/2006/relationships/hyperlink" Target="https://www.cbic.gov.in/content/pdf/CONTENTREPO/CAAR/united-spirit-ruling-28112023.pdf" TargetMode="External" Id="rId207" /><Relationship Type="http://schemas.openxmlformats.org/officeDocument/2006/relationships/hyperlink" Target="https://www.cbic.gov.in/content/pdf/CONTENTREPO/CAAR/Shree-durga-43-del-28-ruling-21nov2023.pdf" TargetMode="External" Id="rId208" /><Relationship Type="http://schemas.openxmlformats.org/officeDocument/2006/relationships/hyperlink" Target="https://www.cbic.gov.in/content/pdf/CONTENTREPO/CAAR/Shree-durga-42-del-27-ruling-21nov2023.pdf" TargetMode="External" Id="rId209" /><Relationship Type="http://schemas.openxmlformats.org/officeDocument/2006/relationships/hyperlink" Target="https://www.cbic.gov.in/content/pdf/CONTENTREPO/CAAR/Shree-durga-41-del-26-ruling-21nov2023.pdf" TargetMode="External" Id="rId210" /><Relationship Type="http://schemas.openxmlformats.org/officeDocument/2006/relationships/hyperlink" Target="https://www.cbic.gov.in/content/pdf/CONTENTREPO/CAAR/caar-del-rul-25-17112023.pdf" TargetMode="External" Id="rId211" /><Relationship Type="http://schemas.openxmlformats.org/officeDocument/2006/relationships/hyperlink" Target="https://www.cbic.gov.in/content/pdf/CONTENTREPO/CAAR/car-delhi-threebond-24.pdf" TargetMode="External" Id="rId212" /><Relationship Type="http://schemas.openxmlformats.org/officeDocument/2006/relationships/hyperlink" Target="https://www.cbic.gov.in/content/pdf/CONTENTREPO/CAAR/car-delhi-qualcom-23-24042024.pdf" TargetMode="External" Id="rId213" /><Relationship Type="http://schemas.openxmlformats.org/officeDocument/2006/relationships/hyperlink" Target="https://www.cbic.gov.in/content/pdf/CONTENTREPO/CAAR/ruling-Amazon-02102023.pdf" TargetMode="External" Id="rId214" /><Relationship Type="http://schemas.openxmlformats.org/officeDocument/2006/relationships/hyperlink" Target="https://www.cbic.gov.in/content/pdf/CONTENTREPO/CAAR/ruling-nikon-20092023.pdf" TargetMode="External" Id="rId215" /><Relationship Type="http://schemas.openxmlformats.org/officeDocument/2006/relationships/hyperlink" Target="https://www.cbic.gov.in/content/pdf/CONTENTREPO/CAAR/caar-fresenius-20-delhi-rul-30052024.pdf" TargetMode="External" Id="rId216" /><Relationship Type="http://schemas.openxmlformats.org/officeDocument/2006/relationships/hyperlink" Target="https://www.cbic.gov.in/content/pdf/CONTENTREPO/CAAR/ruling-supertron-24082023.pdf" TargetMode="External" Id="rId217" /><Relationship Type="http://schemas.openxmlformats.org/officeDocument/2006/relationships/hyperlink" Target="https://www.cbic.gov.in/content/pdf/CONTENTREPO/CAAR/ruling-shree-hari-24082023.pdf" TargetMode="External" Id="rId218" /><Relationship Type="http://schemas.openxmlformats.org/officeDocument/2006/relationships/hyperlink" Target="https://www.cbic.gov.in/content/pdf/CONTENTREPO/CAAR/ruling-samsung-24082023.pdf" TargetMode="External" Id="rId219" /><Relationship Type="http://schemas.openxmlformats.org/officeDocument/2006/relationships/hyperlink" Target="https://www.cbic.gov.in/content/pdf/CONTENTREPO/CAAR/Samsung-162023.pdf" TargetMode="External" Id="rId220" /><Relationship Type="http://schemas.openxmlformats.org/officeDocument/2006/relationships/hyperlink" Target="https://www.cbic.gov.in/content/pdf/CONTENTREPO/CAAR/Amazon-152023.pdf" TargetMode="External" Id="rId221" /><Relationship Type="http://schemas.openxmlformats.org/officeDocument/2006/relationships/hyperlink" Target="https://www.cbic.gov.in/content/pdf/CONTENTREPO/CAAR/halliburton-services-05072023.pdf" TargetMode="External" Id="rId222" /><Relationship Type="http://schemas.openxmlformats.org/officeDocument/2006/relationships/hyperlink" Target="https://www.cbic.gov.in/content/pdf/CONTENTREPO/CAAR/baker-hughes-singapore-05072023.pdf" TargetMode="External" Id="rId223" /><Relationship Type="http://schemas.openxmlformats.org/officeDocument/2006/relationships/hyperlink" Target="https://www.cbic.gov.in/content/pdf/CONTENTREPO/CAAR/bj-services-05072023.pdf" TargetMode="External" Id="rId224" /><Relationship Type="http://schemas.openxmlformats.org/officeDocument/2006/relationships/hyperlink" Target="https://www.cbic.gov.in/content/pdf/CONTENTREPO/CAAR/ruling-socomec-27062023.pdf" TargetMode="External" Id="rId225" /><Relationship Type="http://schemas.openxmlformats.org/officeDocument/2006/relationships/hyperlink" Target="https://www.cbic.gov.in/content/pdf/CONTENTREPO/CAAR/bakers-30052023.pdf" TargetMode="External" Id="rId226" /><Relationship Type="http://schemas.openxmlformats.org/officeDocument/2006/relationships/hyperlink" Target="https://www.cbic.gov.in/content/pdf/CONTENTREPO/CAAR/Supertron-10-30052023.pdf" TargetMode="External" Id="rId227" /><Relationship Type="http://schemas.openxmlformats.org/officeDocument/2006/relationships/hyperlink" Target="https://www.cbic.gov.in/content/pdf/CONTENTREPO/CAAR/caar-amazon-08-delhi-rul-30052024.pdf" TargetMode="External" Id="rId228" /><Relationship Type="http://schemas.openxmlformats.org/officeDocument/2006/relationships/hyperlink" Target="https://www.cbic.gov.in/content/pdf/CONTENTREPO/CAAR/caar-amazon-07-delhi-rul-30052024.pdf" TargetMode="External" Id="rId229" /><Relationship Type="http://schemas.openxmlformats.org/officeDocument/2006/relationships/hyperlink" Target="https://www.cbic.gov.in/content/pdf/CONTENTREPO/CAAR/supertron-electronics-09march2023.pdf" TargetMode="External" Id="rId230" /><Relationship Type="http://schemas.openxmlformats.org/officeDocument/2006/relationships/hyperlink" Target="https://www.cbic.gov.in/content/pdf/CONTENTREPO/CAAR/Dried-Black-Currant-27022023.pdf" TargetMode="External" Id="rId231" /><Relationship Type="http://schemas.openxmlformats.org/officeDocument/2006/relationships/hyperlink" Target="https://www.cbic.gov.in/content/pdf/CONTENTREPO/CAAR/hitachi-02022023.pdf" TargetMode="External" Id="rId232" /><Relationship Type="http://schemas.openxmlformats.org/officeDocument/2006/relationships/hyperlink" Target="https://www.cbic.gov.in/content/pdf/CONTENTREPO/CAAR/caar-canon-03-delhi-rul-30052024.pdf" TargetMode="External" Id="rId233" /><Relationship Type="http://schemas.openxmlformats.org/officeDocument/2006/relationships/hyperlink" Target="https://www.cbic.gov.in/content/pdf/CONTENTREPO/CAAR/caar-canon-02-delhi-rul-30052024.pdf" TargetMode="External" Id="rId234" /><Relationship Type="http://schemas.openxmlformats.org/officeDocument/2006/relationships/hyperlink" Target="https://www.cbic.gov.in/content/pdf/CONTENTREPO/CAAR/supertron-electronics-05012023.pdf" TargetMode="External" Id="rId235" /><Relationship Type="http://schemas.openxmlformats.org/officeDocument/2006/relationships/hyperlink" Target="https://www.cbic.gov.in/content/pdf/CONTENTREPO/CAAR/holitech-del-ruling-17-30dec2022.pdf" TargetMode="External" Id="rId236" /><Relationship Type="http://schemas.openxmlformats.org/officeDocument/2006/relationships/hyperlink" Target="https://www.cbic.gov.in/content/pdf/CONTENTREPO/CAAR/supretron-ruling-16-30dec2022.pdf" TargetMode="External" Id="rId237" /><Relationship Type="http://schemas.openxmlformats.org/officeDocument/2006/relationships/hyperlink" Target="https://www.cbic.gov.in/content/pdf/CONTENTREPO/CAAR/green-infra-ruling-25nov2022.pdf" TargetMode="External" Id="rId238" /><Relationship Type="http://schemas.openxmlformats.org/officeDocument/2006/relationships/hyperlink" Target="https://www.cbic.gov.in/content/pdf/CONTENTREPO/CAAR/smi-amtek-ruling-22112022.pdf" TargetMode="External" Id="rId239" /><Relationship Type="http://schemas.openxmlformats.org/officeDocument/2006/relationships/hyperlink" Target="https://www.cbic.gov.in/content/pdf/CONTENTREPO/CAAR/hp-india-ruling-21112022.pdf" TargetMode="External" Id="rId240" /><Relationship Type="http://schemas.openxmlformats.org/officeDocument/2006/relationships/hyperlink" Target="https://www.cbic.gov.in/content/pdf/CONTENTREPO/CAAR/caar-del-canon-12-08may2024.pdf" TargetMode="External" Id="rId241" /><Relationship Type="http://schemas.openxmlformats.org/officeDocument/2006/relationships/hyperlink" Target="https://www.cbic.gov.in/content/pdf/CONTENTREPO/CAAR/caar-amazon-11-delhi-rul-30052024.pdf" TargetMode="External" Id="rId242" /><Relationship Type="http://schemas.openxmlformats.org/officeDocument/2006/relationships/hyperlink" Target="https://www.cbic.gov.in/content/pdf/CONTENTREPO/CAAR/mitubishi-31082022.pdf" TargetMode="External" Id="rId243" /><Relationship Type="http://schemas.openxmlformats.org/officeDocument/2006/relationships/hyperlink" Target="https://www.cbic.gov.in/content/pdf/CONTENTREPO/CAAR/hq-lamps-08082022.pdf" TargetMode="External" Id="rId244" /><Relationship Type="http://schemas.openxmlformats.org/officeDocument/2006/relationships/hyperlink" Target="https://www.cbic.gov.in/content/pdf/CONTENTREPO/CAAR/volvo-26072023.pdf" TargetMode="External" Id="rId245" /><Relationship Type="http://schemas.openxmlformats.org/officeDocument/2006/relationships/hyperlink" Target="https://www.cbic.gov.in/content/pdf/CONTENTREPO/CAAR/Shreedhra-Agro-LLP-23062022.pdf" TargetMode="External" Id="rId246" /><Relationship Type="http://schemas.openxmlformats.org/officeDocument/2006/relationships/hyperlink" Target="https://www.cbic.gov.in/content/pdf/CONTENTREPO/CAAR/Nuttish-15052023.pdf" TargetMode="External" Id="rId247" /><Relationship Type="http://schemas.openxmlformats.org/officeDocument/2006/relationships/hyperlink" Target="https://www.cbic.gov.in/content/pdf/CONTENTREPO/CAAR/sharp-business-system.pdf" TargetMode="External" Id="rId248" /><Relationship Type="http://schemas.openxmlformats.org/officeDocument/2006/relationships/hyperlink" Target="https://www.cbic.gov.in/content/pdf/CONTENTREPO/CAAR/Harmony Plastics Pvt Ltd rulings no 4.pdf" TargetMode="External" Id="rId249" /><Relationship Type="http://schemas.openxmlformats.org/officeDocument/2006/relationships/hyperlink" Target="https://www.cbic.gov.in/content/pdf/CONTENTREPO/CAAR/Ruling No. Amazon 47.pdf" TargetMode="External" Id="rId250" /><Relationship Type="http://schemas.openxmlformats.org/officeDocument/2006/relationships/hyperlink" Target="https://www.cbic.gov.in/content/pdf/CONTENTREPO/CAAR/Ruling Evans Consoles.pdf" TargetMode="External" Id="rId251" /><Relationship Type="http://schemas.openxmlformats.org/officeDocument/2006/relationships/hyperlink" Target="https://www.cbic.gov.in/content/pdf/CONTENTREPO/CAAR/GG Enterprises-2022.pdf" TargetMode="External" Id="rId252" /><Relationship Type="http://schemas.openxmlformats.org/officeDocument/2006/relationships/hyperlink" Target="https://www.cbic.gov.in/content/pdf/CONTENTREPO/CAAR/UBS Exports Ruling.pdf" TargetMode="External" Id="rId253" /><Relationship Type="http://schemas.openxmlformats.org/officeDocument/2006/relationships/hyperlink" Target="https://www.cbic.gov.in/content/pdf/CONTENTREPO/CAAR/Rulling_No_22.PG_International.pdf" TargetMode="External" Id="rId254" /><Relationship Type="http://schemas.openxmlformats.org/officeDocument/2006/relationships/hyperlink" Target="https://www.cbic.gov.in/content/pdf/CONTENTREPO/CAAR/VaibhavRulings.pdf" TargetMode="External" Id="rId255" /><Relationship Type="http://schemas.openxmlformats.org/officeDocument/2006/relationships/hyperlink" Target="https://www.cbic.gov.in/content/pdf/CONTENTREPO/CAAR/spraytec Rulings.pdf" TargetMode="External" Id="rId256" /><Relationship Type="http://schemas.openxmlformats.org/officeDocument/2006/relationships/hyperlink" Target="https://www.cbic.gov.in/content/pdf/CONTENTREPO/CAAR/valvo orders.pdf" TargetMode="External" Id="rId257" /><Relationship Type="http://schemas.openxmlformats.org/officeDocument/2006/relationships/hyperlink" Target="https://www.cbic.gov.in/content/pdf/CONTENTREPO/CAAR/CPIO-CAA-270821.pdf" TargetMode="External" Id="rId258" /><Relationship Type="http://schemas.openxmlformats.org/officeDocument/2006/relationships/hyperlink" Target="https://www.cbic.gov.in/content/pdf/CONTENTREPO/CAAR/Ruling Amazon 17 of 2021 (1).pdf" TargetMode="External" Id="rId259" /><Relationship Type="http://schemas.openxmlformats.org/officeDocument/2006/relationships/hyperlink" Target="https://www.cbic.gov.in/content/pdf/CONTENTREPO/CAAR/EXOR Ruling.pdf" TargetMode="External" Id="rId260" /><Relationship Type="http://schemas.openxmlformats.org/officeDocument/2006/relationships/hyperlink" Target="https://www.cbic.gov.in/content/pdf/CONTENTREPO/CAAR/R15.pdf" TargetMode="External" Id="rId261" /><Relationship Type="http://schemas.openxmlformats.org/officeDocument/2006/relationships/hyperlink" Target="https://www.cbic.gov.in/content/pdf/CONTENTREPO/CAAR/R14.pdf" TargetMode="External" Id="rId262" /><Relationship Type="http://schemas.openxmlformats.org/officeDocument/2006/relationships/hyperlink" Target="https://www.cbic.gov.in/content/pdf/CONTENTREPO/CAAR/R13.pdf" TargetMode="External" Id="rId263" /><Relationship Type="http://schemas.openxmlformats.org/officeDocument/2006/relationships/hyperlink" Target="https://www.cbic.gov.in/content/pdf/CONTENTREPO/CAAR/R12.pdf" TargetMode="External" Id="rId264" /><Relationship Type="http://schemas.openxmlformats.org/officeDocument/2006/relationships/hyperlink" Target="https://www.cbic.gov.in/content/pdf/CONTENTREPO/CAAR/R11.pdf" TargetMode="External" Id="rId265" /><Relationship Type="http://schemas.openxmlformats.org/officeDocument/2006/relationships/hyperlink" Target="https://www.cbic.gov.in/content/pdf/CONTENTREPO/CAAR/R10.pdf" TargetMode="External" Id="rId266" /><Relationship Type="http://schemas.openxmlformats.org/officeDocument/2006/relationships/hyperlink" Target="https://www.cbic.gov.in/content/pdf/CONTENTREPO/CAAR/Naman_Agri_Ruling_No_09.pdf" TargetMode="External" Id="rId267" /><Relationship Type="http://schemas.openxmlformats.org/officeDocument/2006/relationships/hyperlink" Target="https://www.cbic.gov.in/content/pdf/CONTENTREPO/CAAR/Inspiration_Idea_Ruling_No_08.pdf" TargetMode="External" Id="rId268" /><Relationship Type="http://schemas.openxmlformats.org/officeDocument/2006/relationships/hyperlink" Target="https://www.cbic.gov.in/content/pdf/CONTENTREPO/CAAR/Morchandi_Traders_Ruling_No_07.pdf" TargetMode="External" Id="rId269" /><Relationship Type="http://schemas.openxmlformats.org/officeDocument/2006/relationships/hyperlink" Target="https://www.cbic.gov.in/content/pdf/CONTENTREPO/CAAR/Cosmos_Int_Ruling_No_06.pdf" TargetMode="External" Id="rId270" /><Relationship Type="http://schemas.openxmlformats.org/officeDocument/2006/relationships/hyperlink" Target="https://www.cbic.gov.in/content/pdf/CONTENTREPO/CAAR/Great_Nut_Ruling_No_05.pdf" TargetMode="External" Id="rId271" /><Relationship Type="http://schemas.openxmlformats.org/officeDocument/2006/relationships/hyperlink" Target="https://www.cbic.gov.in/content/pdf/CONTENTREPO/CAAR/Perfect_Trading_Ruling_No_04.pdf" TargetMode="External" Id="rId272" /><Relationship Type="http://schemas.openxmlformats.org/officeDocument/2006/relationships/hyperlink" Target="https://www.cbic.gov.in/content/pdf/CONTENTREPO/CAAR/STAR_SPICES_Ruling_No_03.pdf" TargetMode="External" Id="rId273" /><Relationship Type="http://schemas.openxmlformats.org/officeDocument/2006/relationships/hyperlink" Target="https://www.cbic.gov.in/content/pdf/CONTENTREPO/CAAR/Globe_Impex_Ruling_No_02.pdf" TargetMode="External" Id="rId274" /><Relationship Type="http://schemas.openxmlformats.org/officeDocument/2006/relationships/hyperlink" Target="https://www.cbic.gov.in/content/pdf/CONTENTREPO/CAAR/Dry_Nut_Ruling_No_01.pdf" TargetMode="External" Id="rId275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cbic.gov.in/content/pdf/CONTENTREPO/CAAR/caar-del-17-20-13052026.pdf" TargetMode="External" Id="rId1" /><Relationship Type="http://schemas.openxmlformats.org/officeDocument/2006/relationships/hyperlink" Target="https://www.cbic.gov.in/content/pdf/CONTENTREPO/CAAR/caar-del-12-16-06052026.pdf" TargetMode="External" Id="rId2" /><Relationship Type="http://schemas.openxmlformats.org/officeDocument/2006/relationships/hyperlink" Target="https://www.cbic.gov.in/content/pdf/CONTENTREPO/CAAR/car-del-05-23042026.pdf" TargetMode="External" Id="rId3" /><Relationship Type="http://schemas.openxmlformats.org/officeDocument/2006/relationships/hyperlink" Target="https://www.cbic.gov.in/content/pdf/CONTENTREPO/CAAR/caar-delhi-rul-Navitasys-01-17042026.pdf" TargetMode="External" Id="rId4" /><Relationship Type="http://schemas.openxmlformats.org/officeDocument/2006/relationships/hyperlink" Target="https://www.cbic.gov.in/content/pdf/CONTENTREPO/CAAR/caar-del-solterra-01-15042026.pdf" TargetMode="External" Id="rId5" /><Relationship Type="http://schemas.openxmlformats.org/officeDocument/2006/relationships/hyperlink" Target="https://www.cbic.gov.in/content/pdf/CONTENTREPO/CAAR/caar-del-132-01042026.pdf" TargetMode="External" Id="rId6" /><Relationship Type="http://schemas.openxmlformats.org/officeDocument/2006/relationships/hyperlink" Target="https://www.cbic.gov.in/content/pdf/CONTENTREPO/CAAR/caar-del-140-30032026.pdf" TargetMode="External" Id="rId7" /><Relationship Type="http://schemas.openxmlformats.org/officeDocument/2006/relationships/hyperlink" Target="https://www.cbic.gov.in/content/pdf/CONTENTREPO/CAAR/caar-del-133-24032026.pdf" TargetMode="External" Id="rId8" /><Relationship Type="http://schemas.openxmlformats.org/officeDocument/2006/relationships/hyperlink" Target="https://www.cbic.gov.in/content/pdf/CONTENTREPO/CAAR/caar-delhi-rul-corri-03022026.pdf" TargetMode="External" Id="rId9" /><Relationship Type="http://schemas.openxmlformats.org/officeDocument/2006/relationships/hyperlink" Target="https://www.cbic.gov.in/content/pdf/CONTENTREPO/CAAR/caar-delhi-rul-111-03022026.pdf" TargetMode="External" Id="rId10" /><Relationship Type="http://schemas.openxmlformats.org/officeDocument/2006/relationships/hyperlink" Target="https://www.cbic.gov.in/content/pdf/CONTENTREPO/CAAR/caar-del-131-03022026.pdf" TargetMode="External" Id="rId11" /><Relationship Type="http://schemas.openxmlformats.org/officeDocument/2006/relationships/hyperlink" Target="https://www.cbic.gov.in/content/pdf/CONTENTREPO/CAAR/caar-del-130-03022026.pdf" TargetMode="External" Id="rId12" /><Relationship Type="http://schemas.openxmlformats.org/officeDocument/2006/relationships/hyperlink" Target="https://www.cbic.gov.in/content/pdf/CONTENTREPO/CAAR/caar-del-128-03022026.pdf" TargetMode="External" Id="rId13" /><Relationship Type="http://schemas.openxmlformats.org/officeDocument/2006/relationships/hyperlink" Target="https://www.cbic.gov.in/content/pdf/CONTENTREPO/CAAR/caar-del-127-03022026.pdf" TargetMode="External" Id="rId14" /><Relationship Type="http://schemas.openxmlformats.org/officeDocument/2006/relationships/hyperlink" Target="https://www.cbic.gov.in/content/pdf/CONTENTREPO/CAAR/car-del-125-02022026.pdf" TargetMode="External" Id="rId15" /><Relationship Type="http://schemas.openxmlformats.org/officeDocument/2006/relationships/hyperlink" Target="https://www.cbic.gov.in/content/pdf/CONTENTREPO/CAAR/car-del-122-02022026.pdf" TargetMode="External" Id="rId16" /><Relationship Type="http://schemas.openxmlformats.org/officeDocument/2006/relationships/hyperlink" Target="https://www.cbic.gov.in/content/pdf/CONTENTREPO/CAAR/caar-delhi-rul-123-21012026.pdf" TargetMode="External" Id="rId17" /><Relationship Type="http://schemas.openxmlformats.org/officeDocument/2006/relationships/hyperlink" Target="https://www.cbic.gov.in/content/pdf/CONTENTREPO/CAAR/caar-del-order-121-16012026.pdf" TargetMode="External" Id="rId18" /><Relationship Type="http://schemas.openxmlformats.org/officeDocument/2006/relationships/hyperlink" Target="https://www.cbic.gov.in/content/pdf/CONTENTREPO/CAAR/car-del-104-09012026.pdf" TargetMode="External" Id="rId19" /><Relationship Type="http://schemas.openxmlformats.org/officeDocument/2006/relationships/hyperlink" Target="https://www.cbic.gov.in/content/pdf/CONTENTREPO/CAAR/car-del-93-09012026.pdf" TargetMode="External" Id="rId20" /><Relationship Type="http://schemas.openxmlformats.org/officeDocument/2006/relationships/hyperlink" Target="https://www.cbic.gov.in/content/pdf/CONTENTREPO/CAAR/car-del-92-09012026.pdf" TargetMode="External" Id="rId21" /><Relationship Type="http://schemas.openxmlformats.org/officeDocument/2006/relationships/hyperlink" Target="https://www.cbic.gov.in/content/pdf/CONTENTREPO/CAAR/car-del-89-09012026.pdf" TargetMode="External" Id="rId22" /><Relationship Type="http://schemas.openxmlformats.org/officeDocument/2006/relationships/hyperlink" Target="https://www.cbic.gov.in/content/pdf/CONTENTREPO/CAAR/car-del-76-09012026.pdf" TargetMode="External" Id="rId23" /><Relationship Type="http://schemas.openxmlformats.org/officeDocument/2006/relationships/hyperlink" Target="https://www.cbic.gov.in/content/pdf/CONTENTREPO/CAAR/car-del-114-06012026.pdf" TargetMode="External" Id="rId24" /><Relationship Type="http://schemas.openxmlformats.org/officeDocument/2006/relationships/hyperlink" Target="https://www.cbic.gov.in/content/pdf/CONTENTREPO/CAAR/car-del-110-06012026.pdf" TargetMode="External" Id="rId25" /><Relationship Type="http://schemas.openxmlformats.org/officeDocument/2006/relationships/hyperlink" Target="https://www.cbic.gov.in/content/pdf/CONTENTREPO/CAAR/car-del-109-06012026.pdf" TargetMode="External" Id="rId26" /><Relationship Type="http://schemas.openxmlformats.org/officeDocument/2006/relationships/hyperlink" Target="https://www.cbic.gov.in/content/pdf/CONTENTREPO/CAAR/car-del-112-113-05012026.pdf" TargetMode="External" Id="rId27" /><Relationship Type="http://schemas.openxmlformats.org/officeDocument/2006/relationships/hyperlink" Target="https://www.cbic.gov.in/content/pdf/CONTENTREPO/VPNcontents/CAAR/caar-del-108-29122025.pdf" TargetMode="External" Id="rId28" /><Relationship Type="http://schemas.openxmlformats.org/officeDocument/2006/relationships/hyperlink" Target="https://www.cbic.gov.in/content/pdf/CONTENTREPO/CAAR/caar-delhi-rul-107-19122025.pdf" TargetMode="External" Id="rId29" /><Relationship Type="http://schemas.openxmlformats.org/officeDocument/2006/relationships/hyperlink" Target="https://www.cbic.gov.in/content/pdf/CONTENTREPO/CAAR/caar-delhi-rul-106-19122025.pdf" TargetMode="External" Id="rId30" /><Relationship Type="http://schemas.openxmlformats.org/officeDocument/2006/relationships/hyperlink" Target="https://www.cbic.gov.in/content/pdf/CONTENTREPO/CAAR/caar-delhi-rul-105-19122025.pdf" TargetMode="External" Id="rId31" /><Relationship Type="http://schemas.openxmlformats.org/officeDocument/2006/relationships/hyperlink" Target="https://www.cbic.gov.in/content/pdf/CONTENTREPO/CAAR/caar-delhi-rul-103-20122025.pdf" TargetMode="External" Id="rId32" /><Relationship Type="http://schemas.openxmlformats.org/officeDocument/2006/relationships/hyperlink" Target="https://www.cbic.gov.in/content/pdf/CONTENTREPO/VPNcontents/CAAR/caar-del-101-29122025.pdf" TargetMode="External" Id="rId33" /><Relationship Type="http://schemas.openxmlformats.org/officeDocument/2006/relationships/hyperlink" Target="https://www.cbic.gov.in/content/pdf/CONTENTREPO/VPNcontents/CAAR/caar-del-100-29122025.pdf" TargetMode="External" Id="rId34" /><Relationship Type="http://schemas.openxmlformats.org/officeDocument/2006/relationships/hyperlink" Target="https://www.cbic.gov.in/content/pdf/CONTENTREPO/VPNcontents/CAAR/caar-del-99-29122025.pdf" TargetMode="External" Id="rId35" /><Relationship Type="http://schemas.openxmlformats.org/officeDocument/2006/relationships/hyperlink" Target="https://www.cbic.gov.in/content/pdf/CONTENTREPO/CAAR/caar-del-98-08122025.pdf" TargetMode="External" Id="rId36" /><Relationship Type="http://schemas.openxmlformats.org/officeDocument/2006/relationships/hyperlink" Target="https://www.cbic.gov.in/content/pdf/CONTENTREPO/CAAR/car-del-97-27112025.pdf" TargetMode="External" Id="rId37" /><Relationship Type="http://schemas.openxmlformats.org/officeDocument/2006/relationships/hyperlink" Target="https://www.cbic.gov.in/content/pdf/CONTENTREPO/CAAR/car-del-96-27112025.pdf" TargetMode="External" Id="rId38" /><Relationship Type="http://schemas.openxmlformats.org/officeDocument/2006/relationships/hyperlink" Target="https://www.cbic.gov.in/content/pdf/CONTENTREPO/CAAR/car-del-95-27112025.pdf" TargetMode="External" Id="rId39" /><Relationship Type="http://schemas.openxmlformats.org/officeDocument/2006/relationships/hyperlink" Target="https://www.cbic.gov.in/content/pdf/CONTENTREPO/CAAR/car-del-94-27112025.pdf" TargetMode="External" Id="rId40" /><Relationship Type="http://schemas.openxmlformats.org/officeDocument/2006/relationships/hyperlink" Target="https://www.cbic.gov.in/content/pdf/CONTENTREPO/CAAR/caar-del-91-21112025.pdf" TargetMode="External" Id="rId41" /><Relationship Type="http://schemas.openxmlformats.org/officeDocument/2006/relationships/hyperlink" Target="https://www.cbic.gov.in/content/pdf/CONTENTREPO/CAAR/caar-del-90-21112025.pdf" TargetMode="External" Id="rId42" /><Relationship Type="http://schemas.openxmlformats.org/officeDocument/2006/relationships/hyperlink" Target="https://www.cbic.gov.in/content/pdf/CONTENTREPO/CAAR/caar-del-roh-85-88-27102025.pdf" TargetMode="External" Id="rId43" /><Relationship Type="http://schemas.openxmlformats.org/officeDocument/2006/relationships/hyperlink" Target="https://www.cbic.gov.in/content/pdf/CONTENTREPO/CAAR/caar-del-roh-81-84-27102025.pdf" TargetMode="External" Id="rId44" /><Relationship Type="http://schemas.openxmlformats.org/officeDocument/2006/relationships/hyperlink" Target="https://www.cbic.gov.in/content/pdf/CONTENTREPO/CAAR/caar-del-roh-77-80-27102025.pdf" TargetMode="External" Id="rId45" /><Relationship Type="http://schemas.openxmlformats.org/officeDocument/2006/relationships/hyperlink" Target="https://www.cbic.gov.in/content/pdf/CONTENTREPO/CAAR/caar-del-samsang-75-16102025.pdf" TargetMode="External" Id="rId46" /><Relationship Type="http://schemas.openxmlformats.org/officeDocument/2006/relationships/hyperlink" Target="https://www.cbic.gov.in/content/pdf/CONTENTREPO/CAAR/caar-del-samkwang-74-16102025.pdf" TargetMode="External" Id="rId47" /><Relationship Type="http://schemas.openxmlformats.org/officeDocument/2006/relationships/hyperlink" Target="https://www.cbic.gov.in/content/pdf/CONTENTREPO/CAAR/car-del-47-13102025.pdf" TargetMode="External" Id="rId48" /><Relationship Type="http://schemas.openxmlformats.org/officeDocument/2006/relationships/hyperlink" Target="https://www.cbic.gov.in/content/pdf/CONTENTREPO/CAAR/caar-del-Bird-72-09102025.pdf" TargetMode="External" Id="rId49" /><Relationship Type="http://schemas.openxmlformats.org/officeDocument/2006/relationships/hyperlink" Target="https://www.cbic.gov.in/content/pdf/CONTENTREPO/CAAR/caar-del-gan-71-09102025.pdf" TargetMode="External" Id="rId50" /><Relationship Type="http://schemas.openxmlformats.org/officeDocument/2006/relationships/hyperlink" Target="https://www.cbic.gov.in/content/pdf/CONTENTREPO/VPNcontents/CAAR/caar-del-68-09102025.pdf" TargetMode="External" Id="rId51" /><Relationship Type="http://schemas.openxmlformats.org/officeDocument/2006/relationships/hyperlink" Target="https://www.cbic.gov.in/content/pdf/CONTENTREPO/CAAR/car-del-40-09102025.pdf" TargetMode="External" Id="rId52" /><Relationship Type="http://schemas.openxmlformats.org/officeDocument/2006/relationships/hyperlink" Target="https://www.cbic.gov.in/content/pdf/CONTENTREPO/CAAR/caar-del-samsug-33-08102025.pdf" TargetMode="External" Id="rId53" /><Relationship Type="http://schemas.openxmlformats.org/officeDocument/2006/relationships/hyperlink" Target="https://www.cbic.gov.in/content/pdf/CONTENTREPO/CAAR/caar-delhi-rul-70-07102025.pdf" TargetMode="External" Id="rId54" /><Relationship Type="http://schemas.openxmlformats.org/officeDocument/2006/relationships/hyperlink" Target="https://www.cbic.gov.in/content/pdf/CONTENTREPO/CAAR/caar-delhi-rul-63-07102025.pdf" TargetMode="External" Id="rId55" /><Relationship Type="http://schemas.openxmlformats.org/officeDocument/2006/relationships/hyperlink" Target="https://www.cbic.gov.in/content/pdf/CONTENTREPO/CAAR/car-del62-22092025.pdf" TargetMode="External" Id="rId56" /><Relationship Type="http://schemas.openxmlformats.org/officeDocument/2006/relationships/hyperlink" Target="https://www.cbic.gov.in/content/pdf/CONTENTREPO/VPNcontents/CAAR/caar-del-46-19082025.pdf" TargetMode="External" Id="rId57" /><Relationship Type="http://schemas.openxmlformats.org/officeDocument/2006/relationships/hyperlink" Target="https://www.cbic.gov.in/content/pdf/CONTENTREPO/VPNcontents/CAAR/caar-del--45-19082025.pdf" TargetMode="External" Id="rId58" /><Relationship Type="http://schemas.openxmlformats.org/officeDocument/2006/relationships/hyperlink" Target="https://www.cbic.gov.in/content/pdf/CONTENTREPO/CAAR/car-del-44-08082025.pdf" TargetMode="External" Id="rId59" /><Relationship Type="http://schemas.openxmlformats.org/officeDocument/2006/relationships/hyperlink" Target="https://www.cbic.gov.in/content/pdf/CONTENTREPO/CAAR/car-del-43-06082025.pdf" TargetMode="External" Id="rId60" /><Relationship Type="http://schemas.openxmlformats.org/officeDocument/2006/relationships/hyperlink" Target="https://www.cbic.gov.in/content/pdf/CONTENTREPO/VPNcontents/CAAR/caar-del-41-25092025.pdf" TargetMode="External" Id="rId61" /><Relationship Type="http://schemas.openxmlformats.org/officeDocument/2006/relationships/hyperlink" Target="https://www.cbic.gov.in/content/pdf/CONTENTREPO/CAAR/del-webtec-11062025.pdf" TargetMode="External" Id="rId62" /><Relationship Type="http://schemas.openxmlformats.org/officeDocument/2006/relationships/hyperlink" Target="https://www.cbic.gov.in/content/pdf/CONTENTREPO/CAAR/del-vivo-11062025.pdf" TargetMode="External" Id="rId63" /><Relationship Type="http://schemas.openxmlformats.org/officeDocument/2006/relationships/hyperlink" Target="https://www.cbic.gov.in/content/pdf/CONTENTREPO/CAAR/caar-del-aptiv-27-14052025.pdf" TargetMode="External" Id="rId64" /><Relationship Type="http://schemas.openxmlformats.org/officeDocument/2006/relationships/hyperlink" Target="https://www.cbic.gov.in/content/pdf/CONTENTREPO/CAAR/caar-del-aptiv-26-14052025.pdf" TargetMode="External" Id="rId65" /><Relationship Type="http://schemas.openxmlformats.org/officeDocument/2006/relationships/hyperlink" Target="https://www.cbic.gov.in/content/pdf/CONTENTREPO/CAAR/caar-del-star-25-21022025.pdf" TargetMode="External" Id="rId66" /><Relationship Type="http://schemas.openxmlformats.org/officeDocument/2006/relationships/hyperlink" Target="https://www.cbic.gov.in/content/pdf/CONTENTREPO/CAAR/caar-del-star-24-21022025.pdf" TargetMode="External" Id="rId67" /><Relationship Type="http://schemas.openxmlformats.org/officeDocument/2006/relationships/hyperlink" Target="https://www.cbic.gov.in/content/pdf/CONTENTREPO/CAAR/caar-del-star-23-21022025.pdf" TargetMode="External" Id="rId68" /><Relationship Type="http://schemas.openxmlformats.org/officeDocument/2006/relationships/hyperlink" Target="https://www.cbic.gov.in/content/pdf/CONTENTREPO/CAAR/caar-delhi-rul-22-21022025.pdf" TargetMode="External" Id="rId69" /><Relationship Type="http://schemas.openxmlformats.org/officeDocument/2006/relationships/hyperlink" Target="https://www.cbic.gov.in/content/pdf/CONTENTREPO/CAAR/caar-delhi-rul-21-21022025.pdf" TargetMode="External" Id="rId70" /><Relationship Type="http://schemas.openxmlformats.org/officeDocument/2006/relationships/hyperlink" Target="https://www.cbic.gov.in/content/pdf/CONTENTREPO/CAAR/caar-del-clarion-19-28012025.pdf" TargetMode="External" Id="rId71" /><Relationship Type="http://schemas.openxmlformats.org/officeDocument/2006/relationships/hyperlink" Target="https://www.cbic.gov.in/content/pdf/CONTENTREPO/CAAR/caar-del-apple-17-28012025.pdf" TargetMode="External" Id="rId72" /><Relationship Type="http://schemas.openxmlformats.org/officeDocument/2006/relationships/hyperlink" Target="https://www.cbic.gov.in/content/pdf/CONTENTREPO/CAAR/caar-del-apple-16-28012025.pdf" TargetMode="External" Id="rId73" /><Relationship Type="http://schemas.openxmlformats.org/officeDocument/2006/relationships/hyperlink" Target="https://www.cbic.gov.in/content/pdf/CONTENTREPO/CAAR/caar-del-apple-15-28012025.pdf" TargetMode="External" Id="rId74" /><Relationship Type="http://schemas.openxmlformats.org/officeDocument/2006/relationships/hyperlink" Target="https://www.cbic.gov.in/content/pdf/CONTENTREPO/CAAR/caar-del-apple-14-28012025.pdf" TargetMode="External" Id="rId75" /><Relationship Type="http://schemas.openxmlformats.org/officeDocument/2006/relationships/hyperlink" Target="https://www.cbic.gov.in/content/pdf/CONTENTREPO/CAAR/caar-del-apple-13-28012025.pdf" TargetMode="External" Id="rId76" /><Relationship Type="http://schemas.openxmlformats.org/officeDocument/2006/relationships/hyperlink" Target="https://www.cbic.gov.in/content/pdf/CONTENTREPO/CAAR/caar-del-apple-12-28012025.pdf" TargetMode="External" Id="rId77" /><Relationship Type="http://schemas.openxmlformats.org/officeDocument/2006/relationships/hyperlink" Target="https://www.cbic.gov.in/content/pdf/CONTENTREPO/CAAR/caar-del-apple-11-28012025.pdf" TargetMode="External" Id="rId78" /><Relationship Type="http://schemas.openxmlformats.org/officeDocument/2006/relationships/hyperlink" Target="https://www.cbic.gov.in/content/pdf/CONTENTREPO/CAAR/caar-del-apple-10-28012025.pdf" TargetMode="External" Id="rId79" /><Relationship Type="http://schemas.openxmlformats.org/officeDocument/2006/relationships/hyperlink" Target="https://www.cbic.gov.in/content/pdf/CONTENTREPO/CAAR/caar-del-apple-09-28012025.pdf" TargetMode="External" Id="rId80" /><Relationship Type="http://schemas.openxmlformats.org/officeDocument/2006/relationships/hyperlink" Target="https://www.cbic.gov.in/content/pdf/CONTENTREPO/CAAR/caar-del-apple-08-28012025.pdf" TargetMode="External" Id="rId81" /><Relationship Type="http://schemas.openxmlformats.org/officeDocument/2006/relationships/hyperlink" Target="https://www.cbic.gov.in/content/pdf/CONTENTREPO/CAAR/caar-del-apple-07-28012025.pdf" TargetMode="External" Id="rId82" /><Relationship Type="http://schemas.openxmlformats.org/officeDocument/2006/relationships/hyperlink" Target="https://www.cbic.gov.in/content/pdf/CONTENTREPO/CAAR/caar-del-apple-06-28012025.pdf" TargetMode="External" Id="rId83" /><Relationship Type="http://schemas.openxmlformats.org/officeDocument/2006/relationships/hyperlink" Target="https://www.cbic.gov.in/content/pdf/CONTENTREPO/CAAR/caar-del-akam-05-20012025.pdf" TargetMode="External" Id="rId84" /><Relationship Type="http://schemas.openxmlformats.org/officeDocument/2006/relationships/hyperlink" Target="https://www.cbic.gov.in/content/pdf/CONTENTREPO/CAAR/caar-delhi-kodarama-13012025.pdf" TargetMode="External" Id="rId85" /><Relationship Type="http://schemas.openxmlformats.org/officeDocument/2006/relationships/hyperlink" Target="https://www.cbic.gov.in/content/pdf/CONTENTREPO/CAAR/caar-delhi-13jan2025.pdf" TargetMode="External" Id="rId86" /><Relationship Type="http://schemas.openxmlformats.org/officeDocument/2006/relationships/hyperlink" Target="https://www.cbic.gov.in/content/pdf/CONTENTREPO/CAAR/caar-delhi-13012025.pdf" TargetMode="External" Id="rId87" /><Relationship Type="http://schemas.openxmlformats.org/officeDocument/2006/relationships/hyperlink" Target="https://www.cbic.gov.in/content/pdf/CONTENTREPO/CAAR/caar-del-star-122-03012025.pdf" TargetMode="External" Id="rId88" /><Relationship Type="http://schemas.openxmlformats.org/officeDocument/2006/relationships/hyperlink" Target="https://www.cbic.gov.in/content/pdf/CONTENTREPO/CAAR/CAAR-Danisco-121-2024.pdf" TargetMode="External" Id="rId89" /><Relationship Type="http://schemas.openxmlformats.org/officeDocument/2006/relationships/hyperlink" Target="https://www.cbic.gov.in/content/pdf/CONTENTREPO/CAAR/CAAR-Danisco-120-2024.pdf" TargetMode="External" Id="rId90" /><Relationship Type="http://schemas.openxmlformats.org/officeDocument/2006/relationships/hyperlink" Target="https://www.cbic.gov.in/content/pdf/CONTENTREPO/CAAR/CAAR-Danisco-119-2024.pdf" TargetMode="External" Id="rId91" /><Relationship Type="http://schemas.openxmlformats.org/officeDocument/2006/relationships/hyperlink" Target="https://www.cbic.gov.in/content/pdf/CONTENTREPO/CAAR/caar-delhi-rul-118-31122024.pdf" TargetMode="External" Id="rId92" /><Relationship Type="http://schemas.openxmlformats.org/officeDocument/2006/relationships/hyperlink" Target="https://www.cbic.gov.in/content/pdf/CONTENTREPO/CAAR/caar-delhi-rul-117-31122024.pdf" TargetMode="External" Id="rId93" /><Relationship Type="http://schemas.openxmlformats.org/officeDocument/2006/relationships/hyperlink" Target="https://www.cbic.gov.in/content/pdf/CONTENTREPO/CAAR/caar-delhi-116-2024.pdf" TargetMode="External" Id="rId94" /><Relationship Type="http://schemas.openxmlformats.org/officeDocument/2006/relationships/hyperlink" Target="https://www.cbic.gov.in/content/pdf/CONTENTREPO/CAAR/caar-del-115-2024.pdf" TargetMode="External" Id="rId95" /><Relationship Type="http://schemas.openxmlformats.org/officeDocument/2006/relationships/hyperlink" Target="https://www.cbic.gov.in/content/pdf/CONTENTREPO/CAAR/caar-del-114-2024.pdf" TargetMode="External" Id="rId96" /><Relationship Type="http://schemas.openxmlformats.org/officeDocument/2006/relationships/hyperlink" Target="https://www.cbic.gov.in/content/pdf/CONTENTREPO/CAAR/caar-samsung-113-2024.pdf" TargetMode="External" Id="rId97" /><Relationship Type="http://schemas.openxmlformats.org/officeDocument/2006/relationships/hyperlink" Target="https://www.cbic.gov.in/content/pdf/CONTENTREPO/CAAR/caar-lujee-112-2024.pdf" TargetMode="External" Id="rId98" /><Relationship Type="http://schemas.openxmlformats.org/officeDocument/2006/relationships/hyperlink" Target="https://www.cbic.gov.in/content/pdf/CONTENTREPO/CAAR/caar-lujee-111-2024.pdf" TargetMode="External" Id="rId99" /><Relationship Type="http://schemas.openxmlformats.org/officeDocument/2006/relationships/hyperlink" Target="https://www.cbic.gov.in/content/pdf/CONTENTREPO/CAAR/caar-lujee-110-2024.pdf" TargetMode="External" Id="rId100" /><Relationship Type="http://schemas.openxmlformats.org/officeDocument/2006/relationships/hyperlink" Target="https://www.cbic.gov.in/content/pdf/CONTENTREPO/CAAR/caar-delhi-rul-109-26122024.pdf" TargetMode="External" Id="rId101" /><Relationship Type="http://schemas.openxmlformats.org/officeDocument/2006/relationships/hyperlink" Target="https://www.cbic.gov.in/content/pdf/CONTENTREPO/CAAR/caar-delhi-rul-108-26122024.pdf" TargetMode="External" Id="rId102" /><Relationship Type="http://schemas.openxmlformats.org/officeDocument/2006/relationships/hyperlink" Target="https://www.cbic.gov.in/content/pdf/CONTENTREPO/CAAR/caar-delhi-rul-107-26122024.pdf" TargetMode="External" Id="rId103" /><Relationship Type="http://schemas.openxmlformats.org/officeDocument/2006/relationships/hyperlink" Target="https://www.cbic.gov.in/content/pdf/CONTENTREPO/CAAR/caar-delhi-rul-106-26122024.pdf" TargetMode="External" Id="rId104" /><Relationship Type="http://schemas.openxmlformats.org/officeDocument/2006/relationships/hyperlink" Target="https://www.cbic.gov.in/content/pdf/CONTENTREPO/CAAR/caar-delhi-rul-105-26122024.pdf" TargetMode="External" Id="rId105" /><Relationship Type="http://schemas.openxmlformats.org/officeDocument/2006/relationships/hyperlink" Target="https://www.cbic.gov.in/content/pdf/CONTENTREPO/CAAR/caar-delhi-rul-104-26122024.pdf" TargetMode="External" Id="rId106" /><Relationship Type="http://schemas.openxmlformats.org/officeDocument/2006/relationships/hyperlink" Target="https://www.cbic.gov.in/content/pdf/CONTENTREPO/CAAR/caar-delhi-rul-103-26122024.pdf" TargetMode="External" Id="rId107" /><Relationship Type="http://schemas.openxmlformats.org/officeDocument/2006/relationships/hyperlink" Target="https://www.cbic.gov.in/content/pdf/CONTENTREPO/CAAR/caar-delhi-rul-102-26122024.pdf" TargetMode="External" Id="rId108" /><Relationship Type="http://schemas.openxmlformats.org/officeDocument/2006/relationships/hyperlink" Target="https://www.cbic.gov.in/content/pdf/CONTENTREPO/CAAR/caar-delhi-rul-101-26122024.pdf" TargetMode="External" Id="rId109" /><Relationship Type="http://schemas.openxmlformats.org/officeDocument/2006/relationships/hyperlink" Target="https://www.cbic.gov.in/content/pdf/CONTENTREPO/CAAR/caar-delhi-rul-100-26122024.pdf" TargetMode="External" Id="rId110" /><Relationship Type="http://schemas.openxmlformats.org/officeDocument/2006/relationships/hyperlink" Target="https://www.cbic.gov.in/content/pdf/CONTENTREPO/CAAR/caar-del-99-Plumage-23122024.pdf" TargetMode="External" Id="rId111" /><Relationship Type="http://schemas.openxmlformats.org/officeDocument/2006/relationships/hyperlink" Target="https://www.cbic.gov.in/content/pdf/CONTENTREPO/CAAR/caar-del-98-Plumage-23122024.pdf" TargetMode="External" Id="rId112" /><Relationship Type="http://schemas.openxmlformats.org/officeDocument/2006/relationships/hyperlink" Target="https://www.cbic.gov.in/content/pdf/CONTENTREPO/CAAR/corr-car-del-dans-02012025.pdf" TargetMode="External" Id="rId113" /><Relationship Type="http://schemas.openxmlformats.org/officeDocument/2006/relationships/hyperlink" Target="https://www.cbic.gov.in/content/pdf/CONTENTREPO/CAAR/Lujee95_13122024.pdf" TargetMode="External" Id="rId114" /><Relationship Type="http://schemas.openxmlformats.org/officeDocument/2006/relationships/hyperlink" Target="https://www.cbic.gov.in/content/pdf/CONTENTREPO/CAAR/Winone_13122024.pdf" TargetMode="External" Id="rId115" /><Relationship Type="http://schemas.openxmlformats.org/officeDocument/2006/relationships/hyperlink" Target="https://www.cbic.gov.in/content/pdf/CONTENTREPO/CAAR/caar-oppo-mobiles-india-10122024.pdf" TargetMode="External" Id="rId116" /><Relationship Type="http://schemas.openxmlformats.org/officeDocument/2006/relationships/hyperlink" Target="https://www.cbic.gov.in/content/pdf/CONTENTREPO/CAAR/star92_09122024.pdf" TargetMode="External" Id="rId117" /><Relationship Type="http://schemas.openxmlformats.org/officeDocument/2006/relationships/hyperlink" Target="https://www.cbic.gov.in/content/pdf/CONTENTREPO/CAAR/nk90_09122024.pdf" TargetMode="External" Id="rId118" /><Relationship Type="http://schemas.openxmlformats.org/officeDocument/2006/relationships/hyperlink" Target="https://www.cbic.gov.in/content/pdf/CONTENTREPO/CAAR/shri91_09122024.pdf" TargetMode="External" Id="rId119" /><Relationship Type="http://schemas.openxmlformats.org/officeDocument/2006/relationships/hyperlink" Target="https://www.cbic.gov.in/content/pdf/CONTENTREPO/CAAR/CAAR-Del-Winone-Precision-89-2024.pdf" TargetMode="External" Id="rId120" /><Relationship Type="http://schemas.openxmlformats.org/officeDocument/2006/relationships/hyperlink" Target="https://www.cbic.gov.in/content/pdf/CONTENTREPO/CAAR/Lujee_87_24092024.pdf" TargetMode="External" Id="rId121" /><Relationship Type="http://schemas.openxmlformats.org/officeDocument/2006/relationships/hyperlink" Target="https://www.cbic.gov.in/content/pdf/CONTENTREPO/CAAR/nk_86_24092024.pdf" TargetMode="External" Id="rId122" /><Relationship Type="http://schemas.openxmlformats.org/officeDocument/2006/relationships/hyperlink" Target="https://www.cbic.gov.in/content/pdf/CONTENTREPO/CAAR/Lujee2_24092024.pdf" TargetMode="External" Id="rId123" /><Relationship Type="http://schemas.openxmlformats.org/officeDocument/2006/relationships/hyperlink" Target="https://www.cbic.gov.in/content/pdf/CONTENTREPO/CAAR/Lujee1_24092024.pdf" TargetMode="External" Id="rId124" /><Relationship Type="http://schemas.openxmlformats.org/officeDocument/2006/relationships/hyperlink" Target="https://www.cbic.gov.in/content/pdf/CONTENTREPO/CAAR/Lujee_ruling_22112024.pdf" TargetMode="External" Id="rId125" /><Relationship Type="http://schemas.openxmlformats.org/officeDocument/2006/relationships/hyperlink" Target="https://www.cbic.gov.in/content/pdf/CONTENTREPO/CAAR/caar-rul-delhi-83-21112024.pdf" TargetMode="External" Id="rId126" /><Relationship Type="http://schemas.openxmlformats.org/officeDocument/2006/relationships/hyperlink" Target="https://www.cbic.gov.in/content/pdf/CONTENTREPO/CAAR/caar-rul-delhi-82-21112024.pdf" TargetMode="External" Id="rId127" /><Relationship Type="http://schemas.openxmlformats.org/officeDocument/2006/relationships/hyperlink" Target="https://www.cbic.gov.in/content/pdf/CONTENTREPO/CAAR/caar-rul-delhi-81-21112024.pdf" TargetMode="External" Id="rId128" /><Relationship Type="http://schemas.openxmlformats.org/officeDocument/2006/relationships/hyperlink" Target="https://www.cbic.gov.in/content/pdf/CONTENTREPO/CAAR/caar-rul-delhi-80-05112024.pdf" TargetMode="External" Id="rId129" /><Relationship Type="http://schemas.openxmlformats.org/officeDocument/2006/relationships/hyperlink" Target="https://www.cbic.gov.in/content/pdf/CONTENTREPO/CAAR/caar-rul-delhi-79-05112024.pdf" TargetMode="External" Id="rId130" /><Relationship Type="http://schemas.openxmlformats.org/officeDocument/2006/relationships/hyperlink" Target="https://www.cbic.gov.in/content/pdf/CONTENTREPO/CAAR/caar-rul-delhi-78-05112024.pdf" TargetMode="External" Id="rId131" /><Relationship Type="http://schemas.openxmlformats.org/officeDocument/2006/relationships/hyperlink" Target="https://www.cbic.gov.in/content/pdf/CONTENTREPO/CAAR/caar-rul-delhi-77-05112024.pdf" TargetMode="External" Id="rId132" /><Relationship Type="http://schemas.openxmlformats.org/officeDocument/2006/relationships/hyperlink" Target="https://www.cbic.gov.in/content/pdf/CONTENTREPO/CAAR/caar-rul-delhi-76-05112024.pdf" TargetMode="External" Id="rId133" /><Relationship Type="http://schemas.openxmlformats.org/officeDocument/2006/relationships/hyperlink" Target="https://www.cbic.gov.in/content/pdf/CONTENTREPO/CAAR/caar-rul-delhi-75-05112024.pdf" TargetMode="External" Id="rId134" /><Relationship Type="http://schemas.openxmlformats.org/officeDocument/2006/relationships/hyperlink" Target="https://www.cbic.gov.in/content/pdf/CONTENTREPO/CAAR/caar-rul-delhi-74-05112024.pdf" TargetMode="External" Id="rId135" /><Relationship Type="http://schemas.openxmlformats.org/officeDocument/2006/relationships/hyperlink" Target="https://www.cbic.gov.in/content/pdf/CONTENTREPO/CAAR/caar-rul-delhi-73-05112024.pdf" TargetMode="External" Id="rId136" /><Relationship Type="http://schemas.openxmlformats.org/officeDocument/2006/relationships/hyperlink" Target="https://www.cbic.gov.in/content/pdf/CONTENTREPO/CAAR/caar-rul-delhi-72-05112024.pdf" TargetMode="External" Id="rId137" /><Relationship Type="http://schemas.openxmlformats.org/officeDocument/2006/relationships/hyperlink" Target="https://www.cbic.gov.in/content/pdf/CONTENTREPO/CAAR/caar-del-70-morya-18102024.pdf" TargetMode="External" Id="rId138" /><Relationship Type="http://schemas.openxmlformats.org/officeDocument/2006/relationships/hyperlink" Target="https://www.cbic.gov.in/content/pdf/CONTENTREPO/CAAR/caar-del-69-cuth-17102024.pdf" TargetMode="External" Id="rId139" /><Relationship Type="http://schemas.openxmlformats.org/officeDocument/2006/relationships/hyperlink" Target="https://www.cbic.gov.in/content/pdf/CONTENTREPO/CAAR/caar-del-68-cuth-17102024.pdf" TargetMode="External" Id="rId140" /><Relationship Type="http://schemas.openxmlformats.org/officeDocument/2006/relationships/hyperlink" Target="https://www.cbic.gov.in/content/pdf/CONTENTREPO/CAAR/caar-del-67-dani-21102024.pdf" TargetMode="External" Id="rId141" /><Relationship Type="http://schemas.openxmlformats.org/officeDocument/2006/relationships/hyperlink" Target="https://www.cbic.gov.in/content/pdf/CONTENTREPO/CAAR/caar-del-66-dani-21102024.pdf" TargetMode="External" Id="rId142" /><Relationship Type="http://schemas.openxmlformats.org/officeDocument/2006/relationships/hyperlink" Target="https://www.cbic.gov.in/content/pdf/CONTENTREPO/CAAR/caar-del-65-dani-21102024.pdf" TargetMode="External" Id="rId143" /><Relationship Type="http://schemas.openxmlformats.org/officeDocument/2006/relationships/hyperlink" Target="https://www.cbic.gov.in/content/pdf/CONTENTREPO/CAAR/caar-del-64-danI-17102024.pdf" TargetMode="External" Id="rId144" /><Relationship Type="http://schemas.openxmlformats.org/officeDocument/2006/relationships/hyperlink" Target="https://www.cbic.gov.in/content/pdf/CONTENTREPO/CAAR/caar-del-63-Arista-17102024.pdf" TargetMode="External" Id="rId145" /><Relationship Type="http://schemas.openxmlformats.org/officeDocument/2006/relationships/hyperlink" Target="https://www.cbic.gov.in/content/pdf/CONTENTREPO/CAAR/caar-del-63-09102024.pdf" TargetMode="External" Id="rId146" /><Relationship Type="http://schemas.openxmlformats.org/officeDocument/2006/relationships/hyperlink" Target="https://www.cbic.gov.in/content/pdf/CONTENTREPO/CAAR/caar-rul-delhi-61-07102024.pdf" TargetMode="External" Id="rId147" /><Relationship Type="http://schemas.openxmlformats.org/officeDocument/2006/relationships/hyperlink" Target="https://www.cbic.gov.in/content/pdf/CONTENTREPO/CAAR/caar-rul-delhi-60-07102024.pdf" TargetMode="External" Id="rId148" /><Relationship Type="http://schemas.openxmlformats.org/officeDocument/2006/relationships/hyperlink" Target="https://www.cbic.gov.in/content/pdf/CONTENTREPO/CAAR/caar-rul-delhi-59-07102024.pdf" TargetMode="External" Id="rId149" /><Relationship Type="http://schemas.openxmlformats.org/officeDocument/2006/relationships/hyperlink" Target="https://www.cbic.gov.in/content/pdf/CONTENTREPO/CAAR/caar-rul-delhi-58-07102024.pdf" TargetMode="External" Id="rId150" /><Relationship Type="http://schemas.openxmlformats.org/officeDocument/2006/relationships/hyperlink" Target="https://www.cbic.gov.in/content/pdf/CONTENTREPO/CAAR/caar-rul-delhi-57-07102024.pdf" TargetMode="External" Id="rId151" /><Relationship Type="http://schemas.openxmlformats.org/officeDocument/2006/relationships/hyperlink" Target="https://www.cbic.gov.in/content/pdf/CONTENTREPO/CAAR/caar-rul-delhi-56-07102024.pdf" TargetMode="External" Id="rId152" /><Relationship Type="http://schemas.openxmlformats.org/officeDocument/2006/relationships/hyperlink" Target="https://www.cbic.gov.in/content/pdf/CONTENTREPO/CAAR/Rawder_ruling_24092024.pdf" TargetMode="External" Id="rId153" /><Relationship Type="http://schemas.openxmlformats.org/officeDocument/2006/relationships/hyperlink" Target="https://www.cbic.gov.in/content/pdf/CONTENTREPO/CAAR/caar-del-54-25092024.pdf" TargetMode="External" Id="rId154" /><Relationship Type="http://schemas.openxmlformats.org/officeDocument/2006/relationships/hyperlink" Target="https://www.cbic.gov.in/content/pdf/CONTENTREPO/CAAR/caar-del-53-25092024.pdf" TargetMode="External" Id="rId155" /><Relationship Type="http://schemas.openxmlformats.org/officeDocument/2006/relationships/hyperlink" Target="https://www.cbic.gov.in/content/pdf/CONTENTREPO/CAAR/cuthbert_ruling_24092024.pdf" TargetMode="External" Id="rId156" /><Relationship Type="http://schemas.openxmlformats.org/officeDocument/2006/relationships/hyperlink" Target="https://www.cbic.gov.in/content/pdf/CONTENTREPO/CAAR/caar-del-51-RV-17092024.pdf" TargetMode="External" Id="rId157" /><Relationship Type="http://schemas.openxmlformats.org/officeDocument/2006/relationships/hyperlink" Target="https://www.cbic.gov.in/content/pdf/CONTENTREPO/CAAR/caar-delhi-50-13092024.pdf" TargetMode="External" Id="rId158" /><Relationship Type="http://schemas.openxmlformats.org/officeDocument/2006/relationships/hyperlink" Target="https://www.cbic.gov.in/content/pdf/CONTENTREPO/CAAR/caar-delhi-49-13092024.pdf" TargetMode="External" Id="rId159" /><Relationship Type="http://schemas.openxmlformats.org/officeDocument/2006/relationships/hyperlink" Target="https://www.cbic.gov.in/content/pdf/CONTENTREPO/CAAR/caar-del-48-03092024.pdf" TargetMode="External" Id="rId160" /><Relationship Type="http://schemas.openxmlformats.org/officeDocument/2006/relationships/hyperlink" Target="https://www.cbic.gov.in/content/pdf/CONTENTREPO/CAAR/caar-del-47-03092024.pdf" TargetMode="External" Id="rId161" /><Relationship Type="http://schemas.openxmlformats.org/officeDocument/2006/relationships/hyperlink" Target="https://www.cbic.gov.in/content/pdf/CONTENTREPO/CAAR/caar-delhi-46-updated-17092024.pdf" TargetMode="External" Id="rId162" /><Relationship Type="http://schemas.openxmlformats.org/officeDocument/2006/relationships/hyperlink" Target="https://www.cbic.gov.in/content/pdf/CONTENTREPO/CAAR/caar-delhi-45-updated-17092024.pdf" TargetMode="External" Id="rId163" /><Relationship Type="http://schemas.openxmlformats.org/officeDocument/2006/relationships/hyperlink" Target="https://www.cbic.gov.in/content/pdf/CONTENTREPO/CAAR/caar-del-44-11092024.pdf" TargetMode="External" Id="rId164" /><Relationship Type="http://schemas.openxmlformats.org/officeDocument/2006/relationships/hyperlink" Target="https://www.cbic.gov.in/content/pdf/CONTENTREPO/CAAR/caar-del-43-11092024.pdf" TargetMode="External" Id="rId165" /><Relationship Type="http://schemas.openxmlformats.org/officeDocument/2006/relationships/hyperlink" Target="https://www.cbic.gov.in/content/pdf/CONTENTREPO/CAAR/caar-del-42-11092024.pdf" TargetMode="External" Id="rId166" /><Relationship Type="http://schemas.openxmlformats.org/officeDocument/2006/relationships/hyperlink" Target="https://www.cbic.gov.in/content/pdf/CONTENTREPO/CAAR/lujee-41-20082024.pdf" TargetMode="External" Id="rId167" /><Relationship Type="http://schemas.openxmlformats.org/officeDocument/2006/relationships/hyperlink" Target="https://www.cbic.gov.in/content/pdf/CONTENTREPO/CAAR/bmw-del-40-20082024.pdf" TargetMode="External" Id="rId168" /><Relationship Type="http://schemas.openxmlformats.org/officeDocument/2006/relationships/hyperlink" Target="https://www.cbic.gov.in/content/pdf/CONTENTREPO/CAAR/caar-del-39-lujee-08082024.pdf" TargetMode="External" Id="rId169" /><Relationship Type="http://schemas.openxmlformats.org/officeDocument/2006/relationships/hyperlink" Target="https://www.cbic.gov.in/content/pdf/CONTENTREPO/CAAR/car-del-37-01082024.pdf" TargetMode="External" Id="rId170" /><Relationship Type="http://schemas.openxmlformats.org/officeDocument/2006/relationships/hyperlink" Target="https://www.cbic.gov.in/content/pdf/CONTENTREPO/CAAR/car-del-36-01082024.pdf" TargetMode="External" Id="rId171" /><Relationship Type="http://schemas.openxmlformats.org/officeDocument/2006/relationships/hyperlink" Target="https://www.cbic.gov.in/content/pdf/CONTENTREPO/CAAR/car-del-35-01082024.pdf" TargetMode="External" Id="rId172" /><Relationship Type="http://schemas.openxmlformats.org/officeDocument/2006/relationships/hyperlink" Target="https://www.cbic.gov.in/content/pdf/CONTENTREPO/CAAR/car-del-34-01082024.pdf" TargetMode="External" Id="rId173" /><Relationship Type="http://schemas.openxmlformats.org/officeDocument/2006/relationships/hyperlink" Target="https://www.cbic.gov.in/content/pdf/CONTENTREPO/CAAR/classification-caar-delhi-19072024.pdf" TargetMode="External" Id="rId174" /><Relationship Type="http://schemas.openxmlformats.org/officeDocument/2006/relationships/hyperlink" Target="https://www.cbic.gov.in/content/pdf/CONTENTREPO/CAAR/di_pec_31.pdf" TargetMode="External" Id="rId175" /><Relationship Type="http://schemas.openxmlformats.org/officeDocument/2006/relationships/hyperlink" Target="https://www.cbic.gov.in/content/pdf/CONTENTREPO/CAAR/Exim.pdf" TargetMode="External" Id="rId176" /><Relationship Type="http://schemas.openxmlformats.org/officeDocument/2006/relationships/hyperlink" Target="https://www.cbic.gov.in/content/pdf/CONTENTREPO/CAAR/Prenda-creations_updated_03072024.pdf" TargetMode="External" Id="rId177" /><Relationship Type="http://schemas.openxmlformats.org/officeDocument/2006/relationships/hyperlink" Target="https://www.cbic.gov.in/content/pdf/CONTENTREPO/CAAR/ShreeHari_Ananta_Overseas_updated_03072024.pdf" TargetMode="External" Id="rId178" /><Relationship Type="http://schemas.openxmlformats.org/officeDocument/2006/relationships/hyperlink" Target="https://www.cbic.gov.in/content/pdf/CONTENTREPO/CAAR/caar-del-25-Denso-10062024.pdf" TargetMode="External" Id="rId179" /><Relationship Type="http://schemas.openxmlformats.org/officeDocument/2006/relationships/hyperlink" Target="https://www.cbic.gov.in/content/pdf/CONTENTREPO/CAAR/caar-del-24-Denso-10062024.pdf" TargetMode="External" Id="rId180" /><Relationship Type="http://schemas.openxmlformats.org/officeDocument/2006/relationships/hyperlink" Target="https://www.cbic.gov.in/content/pdf/CONTENTREPO/CAAR/caar-del-23-Denso-10062024.pdf" TargetMode="External" Id="rId181" /><Relationship Type="http://schemas.openxmlformats.org/officeDocument/2006/relationships/hyperlink" Target="https://www.cbic.gov.in/content/pdf/CONTENTREPO/CAAR/caar-del-samsung-delhi-22-06062024.pdf" TargetMode="External" Id="rId182" /><Relationship Type="http://schemas.openxmlformats.org/officeDocument/2006/relationships/hyperlink" Target="https://www.cbic.gov.in/content/pdf/CONTENTREPO/CAAR/caar-del-denso-18-05062024.pdf" TargetMode="External" Id="rId183" /><Relationship Type="http://schemas.openxmlformats.org/officeDocument/2006/relationships/hyperlink" Target="https://www.cbic.gov.in/content/pdf/CONTENTREPO/CAAR/denso-ruling-18062024-delhi.pdf" TargetMode="External" Id="rId184" /><Relationship Type="http://schemas.openxmlformats.org/officeDocument/2006/relationships/hyperlink" Target="https://www.cbic.gov.in/content/pdf/CONTENTREPO/CAAR/caar-del-19-vaibhav-28052024.pdf" TargetMode="External" Id="rId185" /><Relationship Type="http://schemas.openxmlformats.org/officeDocument/2006/relationships/hyperlink" Target="https://www.cbic.gov.in/content/pdf/CONTENTREPO/CAAR/caar-del-18-exim-28052024.pdf" TargetMode="External" Id="rId186" /><Relationship Type="http://schemas.openxmlformats.org/officeDocument/2006/relationships/hyperlink" Target="https://www.cbic.gov.in/content/pdf/CONTENTREPO/CAAR/Elentec-India-Pvt-Ltd-22may2024.pdf" TargetMode="External" Id="rId187" /><Relationship Type="http://schemas.openxmlformats.org/officeDocument/2006/relationships/hyperlink" Target="https://www.cbic.gov.in/content/pdf/CONTENTREPO/CAAR/car-del-16-hari-21082024.pdf" TargetMode="External" Id="rId188" /><Relationship Type="http://schemas.openxmlformats.org/officeDocument/2006/relationships/hyperlink" Target="https://www.cbic.gov.in/content/pdf/CONTENTREPO/CAAR/caar-del-15-rv-intl-14052024.pdf" TargetMode="External" Id="rId189" /><Relationship Type="http://schemas.openxmlformats.org/officeDocument/2006/relationships/hyperlink" Target="https://www.cbic.gov.in/content/pdf/CONTENTREPO/CAAR/caar-del-14-vapa-14052024.pdf" TargetMode="External" Id="rId190" /><Relationship Type="http://schemas.openxmlformats.org/officeDocument/2006/relationships/hyperlink" Target="https://www.cbic.gov.in/content/pdf/CONTENTREPO/CAAR/Vaibhav-Ent-Ruling.pdf" TargetMode="External" Id="rId191" /><Relationship Type="http://schemas.openxmlformats.org/officeDocument/2006/relationships/hyperlink" Target="https://www.cbic.gov.in/content/pdf/CONTENTREPO/CAAR/Ms-Vivo-Mobile-India-Pvt-Ltd-updated-03052024.pdf" TargetMode="External" Id="rId192" /><Relationship Type="http://schemas.openxmlformats.org/officeDocument/2006/relationships/hyperlink" Target="https://www.cbic.gov.in/content/pdf/CONTENTREPO/CAAR/shriprop-ruling-28mar2024.pdf" TargetMode="External" Id="rId193" /><Relationship Type="http://schemas.openxmlformats.org/officeDocument/2006/relationships/hyperlink" Target="https://www.cbic.gov.in/content/pdf/CONTENTREPO/CAAR/caar-del-one-trade-07mar2024.pdf" TargetMode="External" Id="rId194" /><Relationship Type="http://schemas.openxmlformats.org/officeDocument/2006/relationships/hyperlink" Target="https://www.cbic.gov.in/content/pdf/CONTENTREPO/CAAR/perfect-Trading-Rulings.pdf" TargetMode="External" Id="rId195" /><Relationship Type="http://schemas.openxmlformats.org/officeDocument/2006/relationships/hyperlink" Target="https://www.cbic.gov.in/content/pdf/CONTENTREPO/CAAR/caar-del-narang-28feb2024.pdf" TargetMode="External" Id="rId196" /><Relationship Type="http://schemas.openxmlformats.org/officeDocument/2006/relationships/hyperlink" Target="https://www.cbic.gov.in/content/pdf/CONTENTREPO/CAAR/vivo-caar-mumbai-ruling-01022024.pdf" TargetMode="External" Id="rId197" /><Relationship Type="http://schemas.openxmlformats.org/officeDocument/2006/relationships/hyperlink" Target="https://www.cbic.gov.in/content/pdf/CONTENTREPO/CAAR/caar-del-01-09012024.pdf" TargetMode="External" Id="rId198" /><Relationship Type="http://schemas.openxmlformats.org/officeDocument/2006/relationships/hyperlink" Target="https://www.cbic.gov.in/content/pdf/CONTENTREPO/CAAR/caar-del-02-09012024.pdf" TargetMode="External" Id="rId199" /><Relationship Type="http://schemas.openxmlformats.org/officeDocument/2006/relationships/hyperlink" Target="https://www.cbic.gov.in/content/pdf/CONTENTREPO/CAAR/car-delhi-boston-36.pdf" TargetMode="External" Id="rId200" /><Relationship Type="http://schemas.openxmlformats.org/officeDocument/2006/relationships/hyperlink" Target="https://www.cbic.gov.in/content/pdf/CONTENTREPO/CAAR/caar-del-solae-35-15dec2023.pdf" TargetMode="External" Id="rId201" /><Relationship Type="http://schemas.openxmlformats.org/officeDocument/2006/relationships/hyperlink" Target="https://www.cbic.gov.in/content/pdf/CONTENTREPO/CAAR/caar-del-vivo-34-13dec2023.pdf" TargetMode="External" Id="rId202" /><Relationship Type="http://schemas.openxmlformats.org/officeDocument/2006/relationships/hyperlink" Target="https://www.cbic.gov.in/content/pdf/CONTENTREPO/CAAR/caar-del-vivo-33-23aug2024.pdf" TargetMode="External" Id="rId203" /><Relationship Type="http://schemas.openxmlformats.org/officeDocument/2006/relationships/hyperlink" Target="https://www.cbic.gov.in/content/pdf/CONTENTREPO/CAAR/caar-del-bluestar-32-06122023.pdf" TargetMode="External" Id="rId204" /><Relationship Type="http://schemas.openxmlformats.org/officeDocument/2006/relationships/hyperlink" Target="https://www.cbic.gov.in/content/pdf/CONTENTREPO/CAAR/caar-del-superton-31-04122023.pdf" TargetMode="External" Id="rId205" /><Relationship Type="http://schemas.openxmlformats.org/officeDocument/2006/relationships/hyperlink" Target="https://www.cbic.gov.in/content/pdf/CONTENTREPO/CAAR/yubico-ruling-01122023.pdf" TargetMode="External" Id="rId206" /><Relationship Type="http://schemas.openxmlformats.org/officeDocument/2006/relationships/hyperlink" Target="https://www.cbic.gov.in/content/pdf/CONTENTREPO/CAAR/united-spirit-ruling-28112023.pdf" TargetMode="External" Id="rId207" /><Relationship Type="http://schemas.openxmlformats.org/officeDocument/2006/relationships/hyperlink" Target="https://www.cbic.gov.in/content/pdf/CONTENTREPO/CAAR/Shree-durga-43-del-28-ruling-21nov2023.pdf" TargetMode="External" Id="rId208" /><Relationship Type="http://schemas.openxmlformats.org/officeDocument/2006/relationships/hyperlink" Target="https://www.cbic.gov.in/content/pdf/CONTENTREPO/CAAR/Shree-durga-42-del-27-ruling-21nov2023.pdf" TargetMode="External" Id="rId209" /><Relationship Type="http://schemas.openxmlformats.org/officeDocument/2006/relationships/hyperlink" Target="https://www.cbic.gov.in/content/pdf/CONTENTREPO/CAAR/Shree-durga-41-del-26-ruling-21nov2023.pdf" TargetMode="External" Id="rId210" /><Relationship Type="http://schemas.openxmlformats.org/officeDocument/2006/relationships/hyperlink" Target="https://www.cbic.gov.in/content/pdf/CONTENTREPO/CAAR/caar-del-rul-25-17112023.pdf" TargetMode="External" Id="rId211" /><Relationship Type="http://schemas.openxmlformats.org/officeDocument/2006/relationships/hyperlink" Target="https://www.cbic.gov.in/content/pdf/CONTENTREPO/CAAR/car-delhi-threebond-24.pdf" TargetMode="External" Id="rId212" /><Relationship Type="http://schemas.openxmlformats.org/officeDocument/2006/relationships/hyperlink" Target="https://www.cbic.gov.in/content/pdf/CONTENTREPO/CAAR/car-delhi-qualcom-23-24042024.pdf" TargetMode="External" Id="rId213" /><Relationship Type="http://schemas.openxmlformats.org/officeDocument/2006/relationships/hyperlink" Target="https://www.cbic.gov.in/content/pdf/CONTENTREPO/CAAR/ruling-Amazon-02102023.pdf" TargetMode="External" Id="rId214" /><Relationship Type="http://schemas.openxmlformats.org/officeDocument/2006/relationships/hyperlink" Target="https://www.cbic.gov.in/content/pdf/CONTENTREPO/CAAR/ruling-nikon-20092023.pdf" TargetMode="External" Id="rId215" /><Relationship Type="http://schemas.openxmlformats.org/officeDocument/2006/relationships/hyperlink" Target="https://www.cbic.gov.in/content/pdf/CONTENTREPO/CAAR/caar-fresenius-20-delhi-rul-30052024.pdf" TargetMode="External" Id="rId216" /><Relationship Type="http://schemas.openxmlformats.org/officeDocument/2006/relationships/hyperlink" Target="https://www.cbic.gov.in/content/pdf/CONTENTREPO/CAAR/ruling-supertron-24082023.pdf" TargetMode="External" Id="rId217" /><Relationship Type="http://schemas.openxmlformats.org/officeDocument/2006/relationships/hyperlink" Target="https://www.cbic.gov.in/content/pdf/CONTENTREPO/CAAR/ruling-shree-hari-24082023.pdf" TargetMode="External" Id="rId218" /><Relationship Type="http://schemas.openxmlformats.org/officeDocument/2006/relationships/hyperlink" Target="https://www.cbic.gov.in/content/pdf/CONTENTREPO/CAAR/ruling-samsung-24082023.pdf" TargetMode="External" Id="rId219" /><Relationship Type="http://schemas.openxmlformats.org/officeDocument/2006/relationships/hyperlink" Target="https://www.cbic.gov.in/content/pdf/CONTENTREPO/CAAR/Samsung-162023.pdf" TargetMode="External" Id="rId220" /><Relationship Type="http://schemas.openxmlformats.org/officeDocument/2006/relationships/hyperlink" Target="https://www.cbic.gov.in/content/pdf/CONTENTREPO/CAAR/Amazon-152023.pdf" TargetMode="External" Id="rId221" /><Relationship Type="http://schemas.openxmlformats.org/officeDocument/2006/relationships/hyperlink" Target="https://www.cbic.gov.in/content/pdf/CONTENTREPO/CAAR/halliburton-services-05072023.pdf" TargetMode="External" Id="rId222" /><Relationship Type="http://schemas.openxmlformats.org/officeDocument/2006/relationships/hyperlink" Target="https://www.cbic.gov.in/content/pdf/CONTENTREPO/CAAR/baker-hughes-singapore-05072023.pdf" TargetMode="External" Id="rId223" /><Relationship Type="http://schemas.openxmlformats.org/officeDocument/2006/relationships/hyperlink" Target="https://www.cbic.gov.in/content/pdf/CONTENTREPO/CAAR/bj-services-05072023.pdf" TargetMode="External" Id="rId224" /><Relationship Type="http://schemas.openxmlformats.org/officeDocument/2006/relationships/hyperlink" Target="https://www.cbic.gov.in/content/pdf/CONTENTREPO/CAAR/ruling-socomec-27062023.pdf" TargetMode="External" Id="rId225" /><Relationship Type="http://schemas.openxmlformats.org/officeDocument/2006/relationships/hyperlink" Target="https://www.cbic.gov.in/content/pdf/CONTENTREPO/CAAR/bakers-30052023.pdf" TargetMode="External" Id="rId226" /><Relationship Type="http://schemas.openxmlformats.org/officeDocument/2006/relationships/hyperlink" Target="https://www.cbic.gov.in/content/pdf/CONTENTREPO/CAAR/Supertron-10-30052023.pdf" TargetMode="External" Id="rId227" /><Relationship Type="http://schemas.openxmlformats.org/officeDocument/2006/relationships/hyperlink" Target="https://www.cbic.gov.in/content/pdf/CONTENTREPO/CAAR/caar-amazon-08-delhi-rul-30052024.pdf" TargetMode="External" Id="rId228" /><Relationship Type="http://schemas.openxmlformats.org/officeDocument/2006/relationships/hyperlink" Target="https://www.cbic.gov.in/content/pdf/CONTENTREPO/CAAR/caar-amazon-07-delhi-rul-30052024.pdf" TargetMode="External" Id="rId229" /><Relationship Type="http://schemas.openxmlformats.org/officeDocument/2006/relationships/hyperlink" Target="https://www.cbic.gov.in/content/pdf/CONTENTREPO/CAAR/supertron-electronics-09march2023.pdf" TargetMode="External" Id="rId230" /><Relationship Type="http://schemas.openxmlformats.org/officeDocument/2006/relationships/hyperlink" Target="https://www.cbic.gov.in/content/pdf/CONTENTREPO/CAAR/Dried-Black-Currant-27022023.pdf" TargetMode="External" Id="rId231" /><Relationship Type="http://schemas.openxmlformats.org/officeDocument/2006/relationships/hyperlink" Target="https://www.cbic.gov.in/content/pdf/CONTENTREPO/CAAR/hitachi-02022023.pdf" TargetMode="External" Id="rId232" /><Relationship Type="http://schemas.openxmlformats.org/officeDocument/2006/relationships/hyperlink" Target="https://www.cbic.gov.in/content/pdf/CONTENTREPO/CAAR/caar-canon-03-delhi-rul-30052024.pdf" TargetMode="External" Id="rId233" /><Relationship Type="http://schemas.openxmlformats.org/officeDocument/2006/relationships/hyperlink" Target="https://www.cbic.gov.in/content/pdf/CONTENTREPO/CAAR/caar-canon-02-delhi-rul-30052024.pdf" TargetMode="External" Id="rId234" /><Relationship Type="http://schemas.openxmlformats.org/officeDocument/2006/relationships/hyperlink" Target="https://www.cbic.gov.in/content/pdf/CONTENTREPO/CAAR/supertron-electronics-05012023.pdf" TargetMode="External" Id="rId235" /><Relationship Type="http://schemas.openxmlformats.org/officeDocument/2006/relationships/hyperlink" Target="https://www.cbic.gov.in/content/pdf/CONTENTREPO/CAAR/holitech-del-ruling-17-30dec2022.pdf" TargetMode="External" Id="rId236" /><Relationship Type="http://schemas.openxmlformats.org/officeDocument/2006/relationships/hyperlink" Target="https://www.cbic.gov.in/content/pdf/CONTENTREPO/CAAR/supretron-ruling-16-30dec2022.pdf" TargetMode="External" Id="rId237" /><Relationship Type="http://schemas.openxmlformats.org/officeDocument/2006/relationships/hyperlink" Target="https://www.cbic.gov.in/content/pdf/CONTENTREPO/CAAR/green-infra-ruling-25nov2022.pdf" TargetMode="External" Id="rId238" /><Relationship Type="http://schemas.openxmlformats.org/officeDocument/2006/relationships/hyperlink" Target="https://www.cbic.gov.in/content/pdf/CONTENTREPO/CAAR/smi-amtek-ruling-22112022.pdf" TargetMode="External" Id="rId239" /><Relationship Type="http://schemas.openxmlformats.org/officeDocument/2006/relationships/hyperlink" Target="https://www.cbic.gov.in/content/pdf/CONTENTREPO/CAAR/hp-india-ruling-21112022.pdf" TargetMode="External" Id="rId240" /><Relationship Type="http://schemas.openxmlformats.org/officeDocument/2006/relationships/hyperlink" Target="https://www.cbic.gov.in/content/pdf/CONTENTREPO/CAAR/caar-del-canon-12-08may2024.pdf" TargetMode="External" Id="rId241" /><Relationship Type="http://schemas.openxmlformats.org/officeDocument/2006/relationships/hyperlink" Target="https://www.cbic.gov.in/content/pdf/CONTENTREPO/CAAR/caar-amazon-11-delhi-rul-30052024.pdf" TargetMode="External" Id="rId242" /><Relationship Type="http://schemas.openxmlformats.org/officeDocument/2006/relationships/hyperlink" Target="https://www.cbic.gov.in/content/pdf/CONTENTREPO/CAAR/mitubishi-31082022.pdf" TargetMode="External" Id="rId243" /><Relationship Type="http://schemas.openxmlformats.org/officeDocument/2006/relationships/hyperlink" Target="https://www.cbic.gov.in/content/pdf/CONTENTREPO/CAAR/hq-lamps-08082022.pdf" TargetMode="External" Id="rId244" /><Relationship Type="http://schemas.openxmlformats.org/officeDocument/2006/relationships/hyperlink" Target="https://www.cbic.gov.in/content/pdf/CONTENTREPO/CAAR/volvo-26072023.pdf" TargetMode="External" Id="rId245" /><Relationship Type="http://schemas.openxmlformats.org/officeDocument/2006/relationships/hyperlink" Target="https://www.cbic.gov.in/content/pdf/CONTENTREPO/CAAR/Shreedhra-Agro-LLP-23062022.pdf" TargetMode="External" Id="rId246" /><Relationship Type="http://schemas.openxmlformats.org/officeDocument/2006/relationships/hyperlink" Target="https://www.cbic.gov.in/content/pdf/CONTENTREPO/CAAR/Nuttish-15052023.pdf" TargetMode="External" Id="rId247" /><Relationship Type="http://schemas.openxmlformats.org/officeDocument/2006/relationships/hyperlink" Target="https://www.cbic.gov.in/content/pdf/CONTENTREPO/CAAR/sharp-business-system.pdf" TargetMode="External" Id="rId248" /><Relationship Type="http://schemas.openxmlformats.org/officeDocument/2006/relationships/hyperlink" Target="https://www.cbic.gov.in/content/pdf/CONTENTREPO/CAAR/Harmony Plastics Pvt Ltd rulings no 4.pdf" TargetMode="External" Id="rId249" /><Relationship Type="http://schemas.openxmlformats.org/officeDocument/2006/relationships/hyperlink" Target="https://www.cbic.gov.in/content/pdf/CONTENTREPO/CAAR/Ruling No. Amazon 47.pdf" TargetMode="External" Id="rId250" /><Relationship Type="http://schemas.openxmlformats.org/officeDocument/2006/relationships/hyperlink" Target="https://www.cbic.gov.in/content/pdf/CONTENTREPO/CAAR/Ruling Evans Consoles.pdf" TargetMode="External" Id="rId251" /><Relationship Type="http://schemas.openxmlformats.org/officeDocument/2006/relationships/hyperlink" Target="https://www.cbic.gov.in/content/pdf/CONTENTREPO/CAAR/GG Enterprises-2022.pdf" TargetMode="External" Id="rId252" /><Relationship Type="http://schemas.openxmlformats.org/officeDocument/2006/relationships/hyperlink" Target="https://www.cbic.gov.in/content/pdf/CONTENTREPO/CAAR/UBS Exports Ruling.pdf" TargetMode="External" Id="rId253" /><Relationship Type="http://schemas.openxmlformats.org/officeDocument/2006/relationships/hyperlink" Target="https://www.cbic.gov.in/content/pdf/CONTENTREPO/CAAR/Rulling_No_22.PG_International.pdf" TargetMode="External" Id="rId254" /><Relationship Type="http://schemas.openxmlformats.org/officeDocument/2006/relationships/hyperlink" Target="https://www.cbic.gov.in/content/pdf/CONTENTREPO/CAAR/VaibhavRulings.pdf" TargetMode="External" Id="rId255" /><Relationship Type="http://schemas.openxmlformats.org/officeDocument/2006/relationships/hyperlink" Target="https://www.cbic.gov.in/content/pdf/CONTENTREPO/CAAR/spraytec Rulings.pdf" TargetMode="External" Id="rId256" /><Relationship Type="http://schemas.openxmlformats.org/officeDocument/2006/relationships/hyperlink" Target="https://www.cbic.gov.in/content/pdf/CONTENTREPO/CAAR/valvo orders.pdf" TargetMode="External" Id="rId257" /><Relationship Type="http://schemas.openxmlformats.org/officeDocument/2006/relationships/hyperlink" Target="https://www.cbic.gov.in/content/pdf/CONTENTREPO/CAAR/CPIO-CAA-270821.pdf" TargetMode="External" Id="rId258" /><Relationship Type="http://schemas.openxmlformats.org/officeDocument/2006/relationships/hyperlink" Target="https://www.cbic.gov.in/content/pdf/CONTENTREPO/CAAR/Ruling Amazon 17 of 2021 (1).pdf" TargetMode="External" Id="rId259" /><Relationship Type="http://schemas.openxmlformats.org/officeDocument/2006/relationships/hyperlink" Target="https://www.cbic.gov.in/content/pdf/CONTENTREPO/CAAR/EXOR Ruling.pdf" TargetMode="External" Id="rId260" /><Relationship Type="http://schemas.openxmlformats.org/officeDocument/2006/relationships/hyperlink" Target="https://www.cbic.gov.in/content/pdf/CONTENTREPO/CAAR/R15.pdf" TargetMode="External" Id="rId261" /><Relationship Type="http://schemas.openxmlformats.org/officeDocument/2006/relationships/hyperlink" Target="https://www.cbic.gov.in/content/pdf/CONTENTREPO/CAAR/R14.pdf" TargetMode="External" Id="rId262" /><Relationship Type="http://schemas.openxmlformats.org/officeDocument/2006/relationships/hyperlink" Target="https://www.cbic.gov.in/content/pdf/CONTENTREPO/CAAR/R13.pdf" TargetMode="External" Id="rId263" /><Relationship Type="http://schemas.openxmlformats.org/officeDocument/2006/relationships/hyperlink" Target="https://www.cbic.gov.in/content/pdf/CONTENTREPO/CAAR/R12.pdf" TargetMode="External" Id="rId264" /><Relationship Type="http://schemas.openxmlformats.org/officeDocument/2006/relationships/hyperlink" Target="https://www.cbic.gov.in/content/pdf/CONTENTREPO/CAAR/R11.pdf" TargetMode="External" Id="rId265" /><Relationship Type="http://schemas.openxmlformats.org/officeDocument/2006/relationships/hyperlink" Target="https://www.cbic.gov.in/content/pdf/CONTENTREPO/CAAR/R10.pdf" TargetMode="External" Id="rId266" /><Relationship Type="http://schemas.openxmlformats.org/officeDocument/2006/relationships/hyperlink" Target="https://www.cbic.gov.in/content/pdf/CONTENTREPO/CAAR/Naman_Agri_Ruling_No_09.pdf" TargetMode="External" Id="rId267" /><Relationship Type="http://schemas.openxmlformats.org/officeDocument/2006/relationships/hyperlink" Target="https://www.cbic.gov.in/content/pdf/CONTENTREPO/CAAR/Inspiration_Idea_Ruling_No_08.pdf" TargetMode="External" Id="rId268" /><Relationship Type="http://schemas.openxmlformats.org/officeDocument/2006/relationships/hyperlink" Target="https://www.cbic.gov.in/content/pdf/CONTENTREPO/CAAR/Morchandi_Traders_Ruling_No_07.pdf" TargetMode="External" Id="rId269" /><Relationship Type="http://schemas.openxmlformats.org/officeDocument/2006/relationships/hyperlink" Target="https://www.cbic.gov.in/content/pdf/CONTENTREPO/CAAR/Cosmos_Int_Ruling_No_06.pdf" TargetMode="External" Id="rId270" /><Relationship Type="http://schemas.openxmlformats.org/officeDocument/2006/relationships/hyperlink" Target="https://www.cbic.gov.in/content/pdf/CONTENTREPO/CAAR/Great_Nut_Ruling_No_05.pdf" TargetMode="External" Id="rId271" /><Relationship Type="http://schemas.openxmlformats.org/officeDocument/2006/relationships/hyperlink" Target="https://www.cbic.gov.in/content/pdf/CONTENTREPO/CAAR/Perfect_Trading_Ruling_No_04.pdf" TargetMode="External" Id="rId272" /><Relationship Type="http://schemas.openxmlformats.org/officeDocument/2006/relationships/hyperlink" Target="https://www.cbic.gov.in/content/pdf/CONTENTREPO/CAAR/STAR_SPICES_Ruling_No_03.pdf" TargetMode="External" Id="rId273" /><Relationship Type="http://schemas.openxmlformats.org/officeDocument/2006/relationships/hyperlink" Target="https://www.cbic.gov.in/content/pdf/CONTENTREPO/CAAR/Globe_Impex_Ruling_No_02.pdf" TargetMode="External" Id="rId274" /><Relationship Type="http://schemas.openxmlformats.org/officeDocument/2006/relationships/hyperlink" Target="https://www.cbic.gov.in/content/pdf/CONTENTREPO/CAAR/Dry_Nut_Ruling_No_01.pdf" TargetMode="External" Id="rId27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2" customWidth="1" min="4" max="4"/>
  </cols>
  <sheetData>
    <row r="1" ht="30" customHeight="1">
      <c r="A1" s="1" t="inlineStr">
        <is>
          <t>CAAR Litigation Analytics</t>
        </is>
      </c>
    </row>
    <row r="2">
      <c r="A2" s="2" t="inlineStr">
        <is>
          <t>Auto-refreshing summary from 953+ records across Mumbai and Delhi CAAR</t>
        </is>
      </c>
    </row>
    <row r="4">
      <c r="A4" s="3" t="inlineStr">
        <is>
          <t>OVERVIEW</t>
        </is>
      </c>
    </row>
    <row r="5">
      <c r="A5" s="4" t="inlineStr">
        <is>
          <t>Total Records</t>
        </is>
      </c>
      <c r="B5" s="5">
        <f>COUNTA('All Records'!A5:A2000)</f>
        <v/>
      </c>
    </row>
    <row r="6">
      <c r="A6" s="4" t="inlineStr">
        <is>
          <t>With PDF Available</t>
        </is>
      </c>
      <c r="B6" s="6">
        <f>COUNTIF('All Records'!M5:M2000,"YES")</f>
        <v/>
      </c>
    </row>
    <row r="8">
      <c r="A8" s="3" t="inlineStr">
        <is>
          <t>BY SECTION</t>
        </is>
      </c>
    </row>
    <row r="9">
      <c r="A9" s="7" t="inlineStr">
        <is>
          <t>Section</t>
        </is>
      </c>
      <c r="B9" s="7" t="inlineStr">
        <is>
          <t>Count</t>
        </is>
      </c>
      <c r="C9" s="7" t="inlineStr">
        <is>
          <t>With PDF</t>
        </is>
      </c>
      <c r="D9" s="7" t="inlineStr">
        <is>
          <t>PDF %</t>
        </is>
      </c>
    </row>
    <row r="10">
      <c r="A10" t="inlineStr">
        <is>
          <t>Mumbai Rulings</t>
        </is>
      </c>
      <c r="B10">
        <f>COUNTA('Mumbai_Rulings'!A5:A2000)</f>
        <v/>
      </c>
      <c r="C10">
        <f>COUNTIF('Mumbai_Rulings'!M5:M2000,"YES")</f>
        <v/>
      </c>
      <c r="D10" s="8">
        <f>IFERROR(C10/B10,0)</f>
        <v/>
      </c>
    </row>
    <row r="11">
      <c r="A11" t="inlineStr">
        <is>
          <t>Mumbai Orders</t>
        </is>
      </c>
      <c r="B11">
        <f>COUNTA('Mumbai_Orders'!A5:A2000)</f>
        <v/>
      </c>
      <c r="C11">
        <f>COUNTIF('Mumbai_Orders'!M5:M2000,"YES")</f>
        <v/>
      </c>
      <c r="D11" s="8">
        <f>IFERROR(C11/B11,0)</f>
        <v/>
      </c>
    </row>
    <row r="12">
      <c r="A12" t="inlineStr">
        <is>
          <t>Delhi Rulings</t>
        </is>
      </c>
      <c r="B12">
        <f>COUNTA('Delhi_Rulings'!A5:A2000)</f>
        <v/>
      </c>
      <c r="C12">
        <f>COUNTIF('Delhi_Rulings'!M5:M2000,"YES")</f>
        <v/>
      </c>
      <c r="D12" s="8">
        <f>IFERROR(C12/B12,0)</f>
        <v/>
      </c>
    </row>
    <row r="13">
      <c r="A13" t="inlineStr">
        <is>
          <t>Delhi Orders</t>
        </is>
      </c>
      <c r="B13">
        <f>COUNTA('Delhi_Orders'!A5:A2000)</f>
        <v/>
      </c>
      <c r="C13">
        <f>COUNTIF('Delhi_Orders'!M5:M2000,"YES")</f>
        <v/>
      </c>
      <c r="D13" s="8">
        <f>IFERROR(C13/B13,0)</f>
        <v/>
      </c>
    </row>
    <row r="14">
      <c r="A14" s="9" t="inlineStr">
        <is>
          <t>TOTAL</t>
        </is>
      </c>
      <c r="B14" s="9">
        <f>SUM(B10:B13)</f>
        <v/>
      </c>
      <c r="C14" s="9">
        <f>SUM(C10:C13)</f>
        <v/>
      </c>
      <c r="D14" s="10">
        <f>IFERROR(C14/B14,0)</f>
        <v/>
      </c>
    </row>
    <row r="16">
      <c r="A16" s="3" t="inlineStr">
        <is>
          <t>BY ISSUE TYPE</t>
        </is>
      </c>
    </row>
    <row r="17">
      <c r="A17" s="7" t="inlineStr">
        <is>
          <t>Issue Type</t>
        </is>
      </c>
      <c r="B17" s="7" t="inlineStr">
        <is>
          <t>Count</t>
        </is>
      </c>
      <c r="C17" s="7" t="inlineStr">
        <is>
          <t>Share</t>
        </is>
      </c>
    </row>
    <row r="18">
      <c r="A18" t="inlineStr">
        <is>
          <t>Classification</t>
        </is>
      </c>
      <c r="B18">
        <f>COUNTIF('All Records'!I5:I2000,"Classification")</f>
        <v/>
      </c>
      <c r="C18" s="8">
        <f>IFERROR(B18/308,0)</f>
        <v/>
      </c>
    </row>
    <row r="19">
      <c r="A19" t="inlineStr">
        <is>
          <t>Exemption</t>
        </is>
      </c>
      <c r="B19">
        <f>COUNTIF('All Records'!I5:I2000,"Exemption")</f>
        <v/>
      </c>
      <c r="C19" s="8">
        <f>IFERROR(B19/308,0)</f>
        <v/>
      </c>
    </row>
    <row r="20">
      <c r="A20" t="inlineStr">
        <is>
          <t>Valuation</t>
        </is>
      </c>
      <c r="B20">
        <f>COUNTIF('All Records'!I5:I2000,"Valuation")</f>
        <v/>
      </c>
      <c r="C20" s="8">
        <f>IFERROR(B20/308,0)</f>
        <v/>
      </c>
    </row>
    <row r="21">
      <c r="A21" t="inlineStr">
        <is>
          <t>Unspecified</t>
        </is>
      </c>
      <c r="B21">
        <f>COUNTIF('All Records'!I5:I2000,"Unspecified")</f>
        <v/>
      </c>
      <c r="C21" s="8">
        <f>IFERROR(B21/308,0)</f>
        <v/>
      </c>
    </row>
    <row r="22">
      <c r="A22" t="inlineStr">
        <is>
          <t>Procedural</t>
        </is>
      </c>
      <c r="B22">
        <f>COUNTIF('All Records'!I5:I2000,"Procedural")</f>
        <v/>
      </c>
      <c r="C22" s="8">
        <f>IFERROR(B22/308,0)</f>
        <v/>
      </c>
    </row>
    <row r="23">
      <c r="A23" t="inlineStr">
        <is>
          <t>Other / Unclear</t>
        </is>
      </c>
      <c r="B23">
        <f>COUNTIF('All Records'!I5:I2000,"Other / Unclear")</f>
        <v/>
      </c>
      <c r="C23" s="8">
        <f>IFERROR(B23/308,0)</f>
        <v/>
      </c>
    </row>
    <row r="25">
      <c r="A25" s="3" t="inlineStr">
        <is>
          <t>BY YEAR</t>
        </is>
      </c>
    </row>
    <row r="26">
      <c r="A26" s="7" t="inlineStr">
        <is>
          <t>Year</t>
        </is>
      </c>
      <c r="B26" s="7" t="inlineStr">
        <is>
          <t>Total</t>
        </is>
      </c>
      <c r="C26" s="7" t="inlineStr">
        <is>
          <t>Mumbai</t>
        </is>
      </c>
      <c r="D26" s="7" t="inlineStr">
        <is>
          <t>Delhi</t>
        </is>
      </c>
    </row>
    <row r="27">
      <c r="A27" t="inlineStr">
        <is>
          <t>2021</t>
        </is>
      </c>
      <c r="B27">
        <f>COUNTIF('All Records'!G5:G2000,"2021")</f>
        <v/>
      </c>
      <c r="C27">
        <f>COUNTIFS('All Records'!G5:G2000,"2021",'All Records'!A5:A2000,"Mumbai*")</f>
        <v/>
      </c>
      <c r="D27">
        <f>COUNTIFS('All Records'!G5:G2000,"2021",'All Records'!A5:A2000,"Delhi*")</f>
        <v/>
      </c>
    </row>
    <row r="28">
      <c r="A28" t="inlineStr">
        <is>
          <t>2022</t>
        </is>
      </c>
      <c r="B28">
        <f>COUNTIF('All Records'!G5:G2000,"2022")</f>
        <v/>
      </c>
      <c r="C28">
        <f>COUNTIFS('All Records'!G5:G2000,"2022",'All Records'!A5:A2000,"Mumbai*")</f>
        <v/>
      </c>
      <c r="D28">
        <f>COUNTIFS('All Records'!G5:G2000,"2022",'All Records'!A5:A2000,"Delhi*")</f>
        <v/>
      </c>
    </row>
    <row r="29">
      <c r="A29" t="inlineStr">
        <is>
          <t>2023</t>
        </is>
      </c>
      <c r="B29">
        <f>COUNTIF('All Records'!G5:G2000,"2023")</f>
        <v/>
      </c>
      <c r="C29">
        <f>COUNTIFS('All Records'!G5:G2000,"2023",'All Records'!A5:A2000,"Mumbai*")</f>
        <v/>
      </c>
      <c r="D29">
        <f>COUNTIFS('All Records'!G5:G2000,"2023",'All Records'!A5:A2000,"Delhi*")</f>
        <v/>
      </c>
    </row>
    <row r="30">
      <c r="A30" t="inlineStr">
        <is>
          <t>2024</t>
        </is>
      </c>
      <c r="B30">
        <f>COUNTIF('All Records'!G5:G2000,"2024")</f>
        <v/>
      </c>
      <c r="C30">
        <f>COUNTIFS('All Records'!G5:G2000,"2024",'All Records'!A5:A2000,"Mumbai*")</f>
        <v/>
      </c>
      <c r="D30">
        <f>COUNTIFS('All Records'!G5:G2000,"2024",'All Records'!A5:A2000,"Delhi*")</f>
        <v/>
      </c>
    </row>
    <row r="31">
      <c r="A31" t="inlineStr">
        <is>
          <t>2025</t>
        </is>
      </c>
      <c r="B31">
        <f>COUNTIF('All Records'!G5:G2000,"2025")</f>
        <v/>
      </c>
      <c r="C31">
        <f>COUNTIFS('All Records'!G5:G2000,"2025",'All Records'!A5:A2000,"Mumbai*")</f>
        <v/>
      </c>
      <c r="D31">
        <f>COUNTIFS('All Records'!G5:G2000,"2025",'All Records'!A5:A2000,"Delhi*")</f>
        <v/>
      </c>
    </row>
    <row r="32">
      <c r="A32" t="inlineStr">
        <is>
          <t>2026</t>
        </is>
      </c>
      <c r="B32">
        <f>COUNTIF('All Records'!G5:G2000,"2026")</f>
        <v/>
      </c>
      <c r="C32">
        <f>COUNTIFS('All Records'!G5:G2000,"2026",'All Records'!A5:A2000,"Mumbai*")</f>
        <v/>
      </c>
      <c r="D32">
        <f>COUNTIFS('All Records'!G5:G2000,"2026",'All Records'!A5:A2000,"Delhi*")</f>
        <v/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4" customWidth="1" min="2" max="2"/>
    <col width="4" customWidth="1" min="3" max="3"/>
    <col width="35" customWidth="1" min="4" max="4"/>
    <col width="13" customWidth="1" min="5" max="5"/>
    <col width="13" customWidth="1" min="6" max="6"/>
    <col width="7" customWidth="1" min="7" max="7"/>
    <col width="50" customWidth="1" min="8" max="8"/>
    <col width="16" customWidth="1" min="9" max="9"/>
    <col width="11" customWidth="1" min="10" max="10"/>
    <col width="28" customWidth="1" min="11" max="11"/>
    <col width="35" customWidth="1" min="12" max="12"/>
    <col width="7" customWidth="1" min="13" max="13"/>
  </cols>
  <sheetData>
    <row r="1" ht="24" customHeight="1">
      <c r="A1" s="11" t="inlineStr">
        <is>
          <t>CAAR Litigation Analytics  -  All Records (All Benches and Types)</t>
        </is>
      </c>
    </row>
    <row r="2">
      <c r="A2" s="2" t="inlineStr">
        <is>
          <t>308 records</t>
        </is>
      </c>
    </row>
    <row r="4" ht="32" customHeight="1">
      <c r="A4" s="12" t="inlineStr">
        <is>
          <t>Section</t>
        </is>
      </c>
      <c r="B4" s="12" t="inlineStr">
        <is>
          <t>Pg</t>
        </is>
      </c>
      <c r="C4" s="12" t="inlineStr">
        <is>
          <t>Sl</t>
        </is>
      </c>
      <c r="D4" s="12" t="inlineStr">
        <is>
          <t>Applicant</t>
        </is>
      </c>
      <c r="E4" s="12" t="inlineStr">
        <is>
          <t>Date of Application</t>
        </is>
      </c>
      <c r="F4" s="12" t="inlineStr">
        <is>
          <t>Date of Ruling</t>
        </is>
      </c>
      <c r="G4" s="12" t="inlineStr">
        <is>
          <t>Year</t>
        </is>
      </c>
      <c r="H4" s="12" t="inlineStr">
        <is>
          <t>Subject</t>
        </is>
      </c>
      <c r="I4" s="12" t="inlineStr">
        <is>
          <t>Issue Type</t>
        </is>
      </c>
      <c r="J4" s="12" t="inlineStr">
        <is>
          <t>Confidence</t>
        </is>
      </c>
      <c r="K4" s="12" t="inlineStr">
        <is>
          <t>Ruling No.</t>
        </is>
      </c>
      <c r="L4" s="12" t="inlineStr">
        <is>
          <t>PDF Link</t>
        </is>
      </c>
      <c r="M4" s="12" t="inlineStr">
        <is>
          <t>PDF?</t>
        </is>
      </c>
    </row>
    <row r="5">
      <c r="A5" s="13" t="inlineStr">
        <is>
          <t>Delhi Rulings</t>
        </is>
      </c>
      <c r="B5" s="13" t="inlineStr">
        <is>
          <t>1</t>
        </is>
      </c>
      <c r="C5" s="13" t="inlineStr">
        <is>
          <t>1</t>
        </is>
      </c>
      <c r="D5" s="13" t="inlineStr">
        <is>
          <t>M/s V.G. Enterprises</t>
        </is>
      </c>
      <c r="E5" s="13" t="inlineStr">
        <is>
          <t>02.03.2026</t>
        </is>
      </c>
      <c r="F5" s="13" t="inlineStr">
        <is>
          <t>12.05.2026</t>
        </is>
      </c>
      <c r="G5" s="13" t="inlineStr">
        <is>
          <t>2026</t>
        </is>
      </c>
      <c r="H5" s="13" t="inlineStr"/>
      <c r="I5" s="13" t="inlineStr">
        <is>
          <t>Unspecified</t>
        </is>
      </c>
      <c r="J5" s="13" t="inlineStr">
        <is>
          <t>low</t>
        </is>
      </c>
      <c r="K5" s="13" t="inlineStr">
        <is>
          <t>CAAR/Del/V.G./17-20/2026-27</t>
        </is>
      </c>
      <c r="L5" s="14" t="inlineStr">
        <is>
          <t>https://www.cbic.gov.in/content/pdf/CONTENTREPO/CAAR/caar-del-17-20-13052026.pdf</t>
        </is>
      </c>
      <c r="M5" s="13" t="inlineStr">
        <is>
          <t>YES</t>
        </is>
      </c>
    </row>
    <row r="6">
      <c r="A6" s="13" t="inlineStr">
        <is>
          <t>Delhi Rulings</t>
        </is>
      </c>
      <c r="B6" s="13" t="inlineStr">
        <is>
          <t>1</t>
        </is>
      </c>
      <c r="C6" s="13" t="inlineStr">
        <is>
          <t>2</t>
        </is>
      </c>
      <c r="D6" s="13" t="inlineStr">
        <is>
          <t>M/s Think Smart Consultant Private Limited</t>
        </is>
      </c>
      <c r="E6" s="13" t="inlineStr">
        <is>
          <t>30.03.2026</t>
        </is>
      </c>
      <c r="F6" s="13" t="inlineStr">
        <is>
          <t>04.05.2025</t>
        </is>
      </c>
      <c r="G6" s="13" t="inlineStr">
        <is>
          <t>2025</t>
        </is>
      </c>
      <c r="H6" s="13" t="inlineStr">
        <is>
          <t>Ruling is kept confidential</t>
        </is>
      </c>
      <c r="I6" s="13" t="inlineStr">
        <is>
          <t>Procedural</t>
        </is>
      </c>
      <c r="J6" s="13" t="inlineStr">
        <is>
          <t>explicit</t>
        </is>
      </c>
      <c r="K6" s="13" t="inlineStr">
        <is>
          <t>CAAR/Del/ThinkSmart/12-16/2026-27</t>
        </is>
      </c>
      <c r="L6" s="14" t="inlineStr">
        <is>
          <t>https://www.cbic.gov.in/content/pdf/CONTENTREPO/CAAR/caar-del-12-16-06052026.pdf</t>
        </is>
      </c>
      <c r="M6" s="13" t="inlineStr">
        <is>
          <t>YES</t>
        </is>
      </c>
    </row>
    <row r="7">
      <c r="A7" s="13" t="inlineStr">
        <is>
          <t>Delhi Rulings</t>
        </is>
      </c>
      <c r="B7" s="13" t="inlineStr">
        <is>
          <t>1</t>
        </is>
      </c>
      <c r="C7" s="13" t="inlineStr">
        <is>
          <t>3</t>
        </is>
      </c>
      <c r="D7" s="13" t="inlineStr">
        <is>
          <t>M/s Samsung India Electronics Private Limited</t>
        </is>
      </c>
      <c r="E7" s="13" t="inlineStr">
        <is>
          <t>16.12.2025</t>
        </is>
      </c>
      <c r="F7" s="13" t="inlineStr">
        <is>
          <t>04.05.2025</t>
        </is>
      </c>
      <c r="G7" s="13" t="inlineStr">
        <is>
          <t>2025</t>
        </is>
      </c>
      <c r="H7" s="13" t="inlineStr">
        <is>
          <t>Ruling is kept confidential</t>
        </is>
      </c>
      <c r="I7" s="13" t="inlineStr">
        <is>
          <t>Procedural</t>
        </is>
      </c>
      <c r="J7" s="13" t="inlineStr">
        <is>
          <t>explicit</t>
        </is>
      </c>
      <c r="K7" s="13" t="inlineStr">
        <is>
          <t>CCAAR/Del/Samsung/10/2026</t>
        </is>
      </c>
      <c r="L7" s="13" t="inlineStr"/>
      <c r="M7" s="13" t="inlineStr">
        <is>
          <t>NO</t>
        </is>
      </c>
    </row>
    <row r="8">
      <c r="A8" s="13" t="inlineStr">
        <is>
          <t>Delhi Rulings</t>
        </is>
      </c>
      <c r="B8" s="13" t="inlineStr">
        <is>
          <t>1</t>
        </is>
      </c>
      <c r="C8" s="13" t="inlineStr">
        <is>
          <t>4</t>
        </is>
      </c>
      <c r="D8" s="13" t="inlineStr">
        <is>
          <t>M/s Toyota Tsusho India Pvt Ltd</t>
        </is>
      </c>
      <c r="E8" s="13" t="inlineStr">
        <is>
          <t>03.02.2026</t>
        </is>
      </c>
      <c r="F8" s="13" t="inlineStr">
        <is>
          <t>04.05.2026</t>
        </is>
      </c>
      <c r="G8" s="13" t="inlineStr">
        <is>
          <t>2026</t>
        </is>
      </c>
      <c r="H8" s="13" t="inlineStr">
        <is>
          <t>Ruling is kept confidential</t>
        </is>
      </c>
      <c r="I8" s="13" t="inlineStr">
        <is>
          <t>Procedural</t>
        </is>
      </c>
      <c r="J8" s="13" t="inlineStr">
        <is>
          <t>explicit</t>
        </is>
      </c>
      <c r="K8" s="13" t="inlineStr">
        <is>
          <t>CAAR/Del/Toyota Tsusho/08/2026-27</t>
        </is>
      </c>
      <c r="L8" s="13" t="inlineStr"/>
      <c r="M8" s="13" t="inlineStr">
        <is>
          <t>NO</t>
        </is>
      </c>
    </row>
    <row r="9">
      <c r="A9" s="13" t="inlineStr">
        <is>
          <t>Delhi Rulings</t>
        </is>
      </c>
      <c r="B9" s="13" t="inlineStr">
        <is>
          <t>1</t>
        </is>
      </c>
      <c r="C9" s="13" t="inlineStr">
        <is>
          <t>5</t>
        </is>
      </c>
      <c r="D9" s="13" t="inlineStr">
        <is>
          <t>M/s. Samsung India Electronics Pvt Ltd</t>
        </is>
      </c>
      <c r="E9" s="13" t="inlineStr">
        <is>
          <t>23.01.2026</t>
        </is>
      </c>
      <c r="F9" s="13" t="inlineStr">
        <is>
          <t>24.04.2026</t>
        </is>
      </c>
      <c r="G9" s="13" t="inlineStr">
        <is>
          <t>2026</t>
        </is>
      </c>
      <c r="H9" s="13" t="inlineStr">
        <is>
          <t>Ruling is kept confidential</t>
        </is>
      </c>
      <c r="I9" s="13" t="inlineStr">
        <is>
          <t>Procedural</t>
        </is>
      </c>
      <c r="J9" s="13" t="inlineStr">
        <is>
          <t>explicit</t>
        </is>
      </c>
      <c r="K9" s="13" t="inlineStr">
        <is>
          <t>CAAR/Del/Samsung/07/2026-27</t>
        </is>
      </c>
      <c r="L9" s="13" t="inlineStr"/>
      <c r="M9" s="13" t="inlineStr">
        <is>
          <t>NO</t>
        </is>
      </c>
    </row>
    <row r="10">
      <c r="A10" s="13" t="inlineStr">
        <is>
          <t>Delhi Rulings</t>
        </is>
      </c>
      <c r="B10" s="13" t="inlineStr">
        <is>
          <t>1</t>
        </is>
      </c>
      <c r="C10" s="13" t="inlineStr">
        <is>
          <t>6</t>
        </is>
      </c>
      <c r="D10" s="13" t="inlineStr">
        <is>
          <t>M/s SWIFT DECORS, JAKHAL ROAD, SUNAM, SANGRUR, Punjab, 148028</t>
        </is>
      </c>
      <c r="E10" s="13" t="inlineStr">
        <is>
          <t>04.02.2026</t>
        </is>
      </c>
      <c r="F10" s="13" t="inlineStr">
        <is>
          <t>22.04.2026</t>
        </is>
      </c>
      <c r="G10" s="13" t="inlineStr">
        <is>
          <t>2026</t>
        </is>
      </c>
      <c r="H10" s="13" t="inlineStr">
        <is>
          <t>Classification on the import of 'PS MOULDING, PS WALL PANEL, PS L PROFILE, PS WALL PANEL SHEET, PVC</t>
        </is>
      </c>
      <c r="I10" s="13" t="inlineStr">
        <is>
          <t>Classification</t>
        </is>
      </c>
      <c r="J10" s="13" t="inlineStr">
        <is>
          <t>explicit</t>
        </is>
      </c>
      <c r="K10" s="13" t="inlineStr">
        <is>
          <t>CAAR/Del/Swift/05/2026-27</t>
        </is>
      </c>
      <c r="L10" s="14" t="inlineStr">
        <is>
          <t>https://www.cbic.gov.in/content/pdf/CONTENTREPO/CAAR/car-del-05-23042026.pdf</t>
        </is>
      </c>
      <c r="M10" s="13" t="inlineStr">
        <is>
          <t>YES</t>
        </is>
      </c>
    </row>
    <row r="11">
      <c r="A11" s="13" t="inlineStr">
        <is>
          <t>Delhi Rulings</t>
        </is>
      </c>
      <c r="B11" s="13" t="inlineStr">
        <is>
          <t>1</t>
        </is>
      </c>
      <c r="C11" s="13" t="inlineStr">
        <is>
          <t>7</t>
        </is>
      </c>
      <c r="D11" s="13" t="inlineStr">
        <is>
          <t>M/s Samsung India Electronics Private Limited</t>
        </is>
      </c>
      <c r="E11" s="13" t="inlineStr">
        <is>
          <t>17.11.2025</t>
        </is>
      </c>
      <c r="F11" s="13" t="inlineStr">
        <is>
          <t>20.04.2026</t>
        </is>
      </c>
      <c r="G11" s="13" t="inlineStr">
        <is>
          <t>2026</t>
        </is>
      </c>
      <c r="H11" s="13" t="inlineStr"/>
      <c r="I11" s="13" t="inlineStr">
        <is>
          <t>Unspecified</t>
        </is>
      </c>
      <c r="J11" s="13" t="inlineStr">
        <is>
          <t>low</t>
        </is>
      </c>
      <c r="K11" s="13" t="inlineStr">
        <is>
          <t>CAAR/Del/Samsung/03/2026</t>
        </is>
      </c>
      <c r="L11" s="13" t="inlineStr"/>
      <c r="M11" s="13" t="inlineStr">
        <is>
          <t>NO</t>
        </is>
      </c>
    </row>
    <row r="12">
      <c r="A12" s="13" t="inlineStr">
        <is>
          <t>Delhi Rulings</t>
        </is>
      </c>
      <c r="B12" s="13" t="inlineStr">
        <is>
          <t>1</t>
        </is>
      </c>
      <c r="C12" s="13" t="inlineStr">
        <is>
          <t>8</t>
        </is>
      </c>
      <c r="D12" s="13" t="inlineStr">
        <is>
          <t>M/s. Samsung India Electronics Pvt Ltd</t>
        </is>
      </c>
      <c r="E12" s="13" t="inlineStr">
        <is>
          <t>15.04.2026</t>
        </is>
      </c>
      <c r="F12" s="13" t="inlineStr">
        <is>
          <t>20.04.2026</t>
        </is>
      </c>
      <c r="G12" s="13" t="inlineStr">
        <is>
          <t>2026</t>
        </is>
      </c>
      <c r="H12" s="13" t="inlineStr"/>
      <c r="I12" s="13" t="inlineStr">
        <is>
          <t>Unspecified</t>
        </is>
      </c>
      <c r="J12" s="13" t="inlineStr">
        <is>
          <t>low</t>
        </is>
      </c>
      <c r="K12" s="13" t="inlineStr">
        <is>
          <t>CAAR/Del/Samsung/02/2026-27</t>
        </is>
      </c>
      <c r="L12" s="13" t="inlineStr"/>
      <c r="M12" s="13" t="inlineStr">
        <is>
          <t>NO</t>
        </is>
      </c>
    </row>
    <row r="13">
      <c r="A13" s="13" t="inlineStr">
        <is>
          <t>Delhi Rulings</t>
        </is>
      </c>
      <c r="B13" s="13" t="inlineStr">
        <is>
          <t>1</t>
        </is>
      </c>
      <c r="C13" s="13" t="inlineStr">
        <is>
          <t>9</t>
        </is>
      </c>
      <c r="D13" s="13" t="inlineStr">
        <is>
          <t>M/s Navitasys India Private Limited</t>
        </is>
      </c>
      <c r="E13" s="13" t="inlineStr">
        <is>
          <t>14.10.2025</t>
        </is>
      </c>
      <c r="F13" s="13" t="inlineStr">
        <is>
          <t>08.04.2026</t>
        </is>
      </c>
      <c r="G13" s="13" t="inlineStr">
        <is>
          <t>2026</t>
        </is>
      </c>
      <c r="H13" s="13" t="inlineStr">
        <is>
          <t>Classification of “46 different products under varioud HSN of the Schedule to the Customs Tariff Act</t>
        </is>
      </c>
      <c r="I13" s="13" t="inlineStr">
        <is>
          <t>Classification</t>
        </is>
      </c>
      <c r="J13" s="13" t="inlineStr">
        <is>
          <t>explicit</t>
        </is>
      </c>
      <c r="K13" s="13" t="inlineStr">
        <is>
          <t>CAAR/Del/Navitasys/01/2026</t>
        </is>
      </c>
      <c r="L13" s="14" t="inlineStr">
        <is>
          <t>https://www.cbic.gov.in/content/pdf/CONTENTREPO/CAAR/caar-delhi-rul-Navitasys-01-17042026.pdf</t>
        </is>
      </c>
      <c r="M13" s="13" t="inlineStr">
        <is>
          <t>YES</t>
        </is>
      </c>
    </row>
    <row r="14">
      <c r="A14" s="13" t="inlineStr">
        <is>
          <t>Delhi Rulings</t>
        </is>
      </c>
      <c r="B14" s="13" t="inlineStr">
        <is>
          <t>1</t>
        </is>
      </c>
      <c r="C14" s="13" t="inlineStr">
        <is>
          <t>10</t>
        </is>
      </c>
      <c r="D14" s="13" t="inlineStr">
        <is>
          <t>M/s Solterra Technologies Pvt Ltds</t>
        </is>
      </c>
      <c r="E14" s="13" t="inlineStr">
        <is>
          <t>09.12.2025</t>
        </is>
      </c>
      <c r="F14" s="13" t="inlineStr">
        <is>
          <t>08.04.2026</t>
        </is>
      </c>
      <c r="G14" s="13" t="inlineStr">
        <is>
          <t>2026</t>
        </is>
      </c>
      <c r="H14" s="13" t="inlineStr">
        <is>
          <t>Classification of "Electric Vehicle Communication controller" under 85176290 of the Schedule to the</t>
        </is>
      </c>
      <c r="I14" s="13" t="inlineStr">
        <is>
          <t>Classification</t>
        </is>
      </c>
      <c r="J14" s="13" t="inlineStr">
        <is>
          <t>explicit</t>
        </is>
      </c>
      <c r="K14" s="13" t="inlineStr">
        <is>
          <t>CAAR/Del/Solterra/01/2026</t>
        </is>
      </c>
      <c r="L14" s="14" t="inlineStr">
        <is>
          <t>https://www.cbic.gov.in/content/pdf/CONTENTREPO/CAAR/caar-del-solterra-01-15042026.pdf</t>
        </is>
      </c>
      <c r="M14" s="13" t="inlineStr">
        <is>
          <t>YES</t>
        </is>
      </c>
    </row>
    <row r="15">
      <c r="A15" s="13" t="inlineStr">
        <is>
          <t>Delhi Rulings</t>
        </is>
      </c>
      <c r="B15" s="13" t="inlineStr">
        <is>
          <t>2</t>
        </is>
      </c>
      <c r="C15" s="13" t="inlineStr">
        <is>
          <t>11</t>
        </is>
      </c>
      <c r="D15" s="13" t="inlineStr">
        <is>
          <t>M/s Kingshine Laminates Private Limited</t>
        </is>
      </c>
      <c r="E15" s="13" t="inlineStr">
        <is>
          <t>06.01.2026</t>
        </is>
      </c>
      <c r="F15" s="13" t="inlineStr">
        <is>
          <t>12.02.2026</t>
        </is>
      </c>
      <c r="G15" s="13" t="inlineStr">
        <is>
          <t>2026</t>
        </is>
      </c>
      <c r="H15" s="13" t="inlineStr">
        <is>
          <t>Classification of PS MOULDING, PS WALL PANEL, PS L PROFILE, PS WALL PANEL SHEET, PVC PANEL FOAM, PVC</t>
        </is>
      </c>
      <c r="I15" s="13" t="inlineStr">
        <is>
          <t>Classification</t>
        </is>
      </c>
      <c r="J15" s="13" t="inlineStr">
        <is>
          <t>explicit</t>
        </is>
      </c>
      <c r="K15" s="13" t="inlineStr">
        <is>
          <t>CAAR/Del/Kingshine/132/2025-26</t>
        </is>
      </c>
      <c r="L15" s="14" t="inlineStr">
        <is>
          <t>https://www.cbic.gov.in/content/pdf/CONTENTREPO/CAAR/caar-del-132-01042026.pdf</t>
        </is>
      </c>
      <c r="M15" s="13" t="inlineStr">
        <is>
          <t>YES</t>
        </is>
      </c>
    </row>
    <row r="16">
      <c r="A16" s="13" t="inlineStr">
        <is>
          <t>Delhi Rulings</t>
        </is>
      </c>
      <c r="B16" s="13" t="inlineStr">
        <is>
          <t>2</t>
        </is>
      </c>
      <c r="C16" s="13" t="inlineStr">
        <is>
          <t>12</t>
        </is>
      </c>
      <c r="D16" s="13" t="inlineStr">
        <is>
          <t>M/s Vivo Mobile India Private Limited</t>
        </is>
      </c>
      <c r="E16" s="13" t="inlineStr">
        <is>
          <t>16.12.2025</t>
        </is>
      </c>
      <c r="F16" s="13" t="inlineStr">
        <is>
          <t>30.03.2026</t>
        </is>
      </c>
      <c r="G16" s="13" t="inlineStr">
        <is>
          <t>2026</t>
        </is>
      </c>
      <c r="H16" s="13" t="inlineStr">
        <is>
          <t>Classification of parts for manufacturing of cellular mobile phones and Printed Circuit Board Assemb</t>
        </is>
      </c>
      <c r="I16" s="13" t="inlineStr">
        <is>
          <t>Classification</t>
        </is>
      </c>
      <c r="J16" s="13" t="inlineStr">
        <is>
          <t>explicit</t>
        </is>
      </c>
      <c r="K16" s="13" t="inlineStr">
        <is>
          <t>CAAR/Del/Vivo/140/2025-26</t>
        </is>
      </c>
      <c r="L16" s="14" t="inlineStr">
        <is>
          <t>https://www.cbic.gov.in/content/pdf/CONTENTREPO/CAAR/caar-del-140-30032026.pdf</t>
        </is>
      </c>
      <c r="M16" s="13" t="inlineStr">
        <is>
          <t>YES</t>
        </is>
      </c>
    </row>
    <row r="17">
      <c r="A17" s="13" t="inlineStr">
        <is>
          <t>Delhi Rulings</t>
        </is>
      </c>
      <c r="B17" s="13" t="inlineStr">
        <is>
          <t>2</t>
        </is>
      </c>
      <c r="C17" s="13" t="inlineStr">
        <is>
          <t>13</t>
        </is>
      </c>
      <c r="D17" s="13" t="inlineStr">
        <is>
          <t>M/s Samsung India Electronics Private Limited</t>
        </is>
      </c>
      <c r="E17" s="13" t="inlineStr">
        <is>
          <t>17.11.2025</t>
        </is>
      </c>
      <c r="F17" s="13" t="inlineStr">
        <is>
          <t>02.03.2026</t>
        </is>
      </c>
      <c r="G17" s="13" t="inlineStr">
        <is>
          <t>2026</t>
        </is>
      </c>
      <c r="H17" s="13" t="inlineStr">
        <is>
          <t>Classification of Side key FPCB for use in manufacture of smartphone</t>
        </is>
      </c>
      <c r="I17" s="13" t="inlineStr">
        <is>
          <t>Classification</t>
        </is>
      </c>
      <c r="J17" s="13" t="inlineStr">
        <is>
          <t>explicit</t>
        </is>
      </c>
      <c r="K17" s="13" t="inlineStr">
        <is>
          <t>CAAR/Del/Samsung/137/2026</t>
        </is>
      </c>
      <c r="L17" s="13" t="inlineStr"/>
      <c r="M17" s="13" t="inlineStr">
        <is>
          <t>NO</t>
        </is>
      </c>
    </row>
    <row r="18">
      <c r="A18" s="13" t="inlineStr">
        <is>
          <t>Delhi Rulings</t>
        </is>
      </c>
      <c r="B18" s="13" t="inlineStr">
        <is>
          <t>2</t>
        </is>
      </c>
      <c r="C18" s="13" t="inlineStr">
        <is>
          <t>14</t>
        </is>
      </c>
      <c r="D18" s="13" t="inlineStr">
        <is>
          <t>M/s Vivo Mobile India Private Limited</t>
        </is>
      </c>
      <c r="E18" s="13" t="inlineStr">
        <is>
          <t>30.07.2025</t>
        </is>
      </c>
      <c r="F18" s="13" t="inlineStr">
        <is>
          <t>16.02.2026</t>
        </is>
      </c>
      <c r="G18" s="13" t="inlineStr">
        <is>
          <t>2026</t>
        </is>
      </c>
      <c r="H18" s="13" t="inlineStr">
        <is>
          <t>Classification of Display Assembly</t>
        </is>
      </c>
      <c r="I18" s="13" t="inlineStr">
        <is>
          <t>Classification</t>
        </is>
      </c>
      <c r="J18" s="13" t="inlineStr">
        <is>
          <t>explicit</t>
        </is>
      </c>
      <c r="K18" s="13" t="inlineStr">
        <is>
          <t>CAAR/Del/Vivo/133/2026</t>
        </is>
      </c>
      <c r="L18" s="14" t="inlineStr">
        <is>
          <t>https://www.cbic.gov.in/content/pdf/CONTENTREPO/CAAR/caar-del-133-24032026.pdf</t>
        </is>
      </c>
      <c r="M18" s="13" t="inlineStr">
        <is>
          <t>YES</t>
        </is>
      </c>
    </row>
    <row r="19">
      <c r="A19" s="13" t="inlineStr">
        <is>
          <t>Delhi Rulings</t>
        </is>
      </c>
      <c r="B19" s="13" t="inlineStr">
        <is>
          <t>2</t>
        </is>
      </c>
      <c r="C19" s="13" t="inlineStr">
        <is>
          <t>15</t>
        </is>
      </c>
      <c r="D19" s="13" t="inlineStr">
        <is>
          <t>M/s Volvo Auto India Private Limited</t>
        </is>
      </c>
      <c r="E19" s="13" t="inlineStr">
        <is>
          <t>16.12.2025</t>
        </is>
      </c>
      <c r="F19" s="13" t="inlineStr">
        <is>
          <t>17.02.2026</t>
        </is>
      </c>
      <c r="G19" s="13" t="inlineStr">
        <is>
          <t>2026</t>
        </is>
      </c>
      <c r="H19" s="13" t="inlineStr"/>
      <c r="I19" s="13" t="inlineStr">
        <is>
          <t>Unspecified</t>
        </is>
      </c>
      <c r="J19" s="13" t="inlineStr">
        <is>
          <t>low</t>
        </is>
      </c>
      <c r="K19" s="13" t="inlineStr">
        <is>
          <t>CAAR/Del/Volvo/135/2025-26</t>
        </is>
      </c>
      <c r="L19" s="13" t="inlineStr"/>
      <c r="M19" s="13" t="inlineStr">
        <is>
          <t>NO</t>
        </is>
      </c>
    </row>
    <row r="20">
      <c r="A20" s="13" t="inlineStr">
        <is>
          <t>Delhi Rulings</t>
        </is>
      </c>
      <c r="B20" s="13" t="inlineStr">
        <is>
          <t>2</t>
        </is>
      </c>
      <c r="C20" s="13" t="inlineStr">
        <is>
          <t>16</t>
        </is>
      </c>
      <c r="D20" s="13" t="inlineStr">
        <is>
          <t>M/s Samsung Display Noida Pvt Ltd</t>
        </is>
      </c>
      <c r="E20" s="13" t="inlineStr">
        <is>
          <t>03.12.2025</t>
        </is>
      </c>
      <c r="F20" s="13" t="inlineStr">
        <is>
          <t>31.01.2026</t>
        </is>
      </c>
      <c r="G20" s="13" t="inlineStr">
        <is>
          <t>2026</t>
        </is>
      </c>
      <c r="H20" s="13" t="inlineStr">
        <is>
          <t>Classification of LAMI Panel Loader and Unloader’</t>
        </is>
      </c>
      <c r="I20" s="13" t="inlineStr">
        <is>
          <t>Classification</t>
        </is>
      </c>
      <c r="J20" s="13" t="inlineStr">
        <is>
          <t>explicit</t>
        </is>
      </c>
      <c r="K20" s="13" t="inlineStr">
        <is>
          <t>CAAR/Del/Samsung/126/2025-26</t>
        </is>
      </c>
      <c r="L20" s="13" t="inlineStr"/>
      <c r="M20" s="13" t="inlineStr">
        <is>
          <t>NO</t>
        </is>
      </c>
    </row>
    <row r="21">
      <c r="A21" s="13" t="inlineStr">
        <is>
          <t>Delhi Rulings</t>
        </is>
      </c>
      <c r="B21" s="13" t="inlineStr">
        <is>
          <t>2</t>
        </is>
      </c>
      <c r="C21" s="13" t="inlineStr">
        <is>
          <t>17</t>
        </is>
      </c>
      <c r="D21" s="13" t="inlineStr">
        <is>
          <t>M/s Danisco India Private Limted</t>
        </is>
      </c>
      <c r="E21" s="13" t="inlineStr">
        <is>
          <t>10.02.2025</t>
        </is>
      </c>
      <c r="F21" s="13" t="inlineStr">
        <is>
          <t>30.12.2025</t>
        </is>
      </c>
      <c r="G21" s="13" t="inlineStr">
        <is>
          <t>2025</t>
        </is>
      </c>
      <c r="H21" s="13" t="inlineStr">
        <is>
          <t>Sharp PS</t>
        </is>
      </c>
      <c r="I21" s="13" t="inlineStr">
        <is>
          <t>Classification</t>
        </is>
      </c>
      <c r="J21" s="13" t="inlineStr">
        <is>
          <t>inferred</t>
        </is>
      </c>
      <c r="K21" s="13" t="inlineStr">
        <is>
          <t>Corrigendum</t>
        </is>
      </c>
      <c r="L21" s="14" t="inlineStr">
        <is>
          <t>https://www.cbic.gov.in/content/pdf/CONTENTREPO/CAAR/caar-delhi-rul-corri-03022026.pdf</t>
        </is>
      </c>
      <c r="M21" s="13" t="inlineStr">
        <is>
          <t>YES</t>
        </is>
      </c>
    </row>
    <row r="22">
      <c r="A22" s="13" t="inlineStr">
        <is>
          <t>Delhi Rulings</t>
        </is>
      </c>
      <c r="B22" s="13" t="inlineStr">
        <is>
          <t>2</t>
        </is>
      </c>
      <c r="C22" s="13" t="inlineStr">
        <is>
          <t>18</t>
        </is>
      </c>
      <c r="D22" s="13" t="inlineStr">
        <is>
          <t>M/s Danisco India Private Limted</t>
        </is>
      </c>
      <c r="E22" s="13" t="inlineStr">
        <is>
          <t>10.02.2025</t>
        </is>
      </c>
      <c r="F22" s="13" t="inlineStr">
        <is>
          <t>30.12.2025</t>
        </is>
      </c>
      <c r="G22" s="13" t="inlineStr">
        <is>
          <t>2025</t>
        </is>
      </c>
      <c r="H22" s="13" t="inlineStr">
        <is>
          <t>Sharp PS</t>
        </is>
      </c>
      <c r="I22" s="13" t="inlineStr">
        <is>
          <t>Classification</t>
        </is>
      </c>
      <c r="J22" s="13" t="inlineStr">
        <is>
          <t>inferred</t>
        </is>
      </c>
      <c r="K22" s="13" t="inlineStr">
        <is>
          <t>CAAR/Del/Danisco/111/2025</t>
        </is>
      </c>
      <c r="L22" s="14" t="inlineStr">
        <is>
          <t>https://www.cbic.gov.in/content/pdf/CONTENTREPO/CAAR/caar-delhi-rul-111-03022026.pdf</t>
        </is>
      </c>
      <c r="M22" s="13" t="inlineStr">
        <is>
          <t>YES</t>
        </is>
      </c>
    </row>
    <row r="23">
      <c r="A23" s="13" t="inlineStr">
        <is>
          <t>Delhi Rulings</t>
        </is>
      </c>
      <c r="B23" s="13" t="inlineStr">
        <is>
          <t>2</t>
        </is>
      </c>
      <c r="C23" s="13" t="inlineStr">
        <is>
          <t>19</t>
        </is>
      </c>
      <c r="D23" s="13" t="inlineStr">
        <is>
          <t>M/s VinFast Auto India Private Limited</t>
        </is>
      </c>
      <c r="E23" s="13" t="inlineStr">
        <is>
          <t>12.08.2025</t>
        </is>
      </c>
      <c r="F23" s="13" t="inlineStr">
        <is>
          <t>31.01.2026</t>
        </is>
      </c>
      <c r="G23" s="13" t="inlineStr">
        <is>
          <t>2026</t>
        </is>
      </c>
      <c r="H23" s="13" t="inlineStr">
        <is>
          <t>Import of Various Items for manufacture of EVs</t>
        </is>
      </c>
      <c r="I23" s="13" t="inlineStr">
        <is>
          <t>Classification</t>
        </is>
      </c>
      <c r="J23" s="13" t="inlineStr">
        <is>
          <t>inferred</t>
        </is>
      </c>
      <c r="K23" s="13" t="inlineStr">
        <is>
          <t>CAAR/Del/VinFast/131/2025-26</t>
        </is>
      </c>
      <c r="L23" s="14" t="inlineStr">
        <is>
          <t>https://www.cbic.gov.in/content/pdf/CONTENTREPO/CAAR/caar-del-131-03022026.pdf</t>
        </is>
      </c>
      <c r="M23" s="13" t="inlineStr">
        <is>
          <t>YES</t>
        </is>
      </c>
    </row>
    <row r="24">
      <c r="A24" s="13" t="inlineStr">
        <is>
          <t>Delhi Rulings</t>
        </is>
      </c>
      <c r="B24" s="13" t="inlineStr">
        <is>
          <t>2</t>
        </is>
      </c>
      <c r="C24" s="13" t="inlineStr">
        <is>
          <t>20</t>
        </is>
      </c>
      <c r="D24" s="13" t="inlineStr">
        <is>
          <t>M/s Shri Balaji Multi Designs Private Limited</t>
        </is>
      </c>
      <c r="E24" s="13" t="inlineStr">
        <is>
          <t>06.01.2025</t>
        </is>
      </c>
      <c r="F24" s="13" t="inlineStr">
        <is>
          <t>31.01.2026</t>
        </is>
      </c>
      <c r="G24" s="13" t="inlineStr">
        <is>
          <t>2026</t>
        </is>
      </c>
      <c r="H24" s="13" t="inlineStr">
        <is>
          <t>PVC Items</t>
        </is>
      </c>
      <c r="I24" s="13" t="inlineStr">
        <is>
          <t>Classification</t>
        </is>
      </c>
      <c r="J24" s="13" t="inlineStr">
        <is>
          <t>inferred</t>
        </is>
      </c>
      <c r="K24" s="13" t="inlineStr">
        <is>
          <t>CAAR/Del/Sri Balaji/130/2025-26</t>
        </is>
      </c>
      <c r="L24" s="14" t="inlineStr">
        <is>
          <t>https://www.cbic.gov.in/content/pdf/CONTENTREPO/CAAR/caar-del-130-03022026.pdf</t>
        </is>
      </c>
      <c r="M24" s="13" t="inlineStr">
        <is>
          <t>YES</t>
        </is>
      </c>
    </row>
    <row r="25">
      <c r="A25" s="13" t="inlineStr">
        <is>
          <t>Delhi Rulings</t>
        </is>
      </c>
      <c r="B25" s="13" t="inlineStr">
        <is>
          <t>3</t>
        </is>
      </c>
      <c r="C25" s="13" t="inlineStr">
        <is>
          <t>21</t>
        </is>
      </c>
      <c r="D25" s="13" t="inlineStr">
        <is>
          <t>M/s SP Traders</t>
        </is>
      </c>
      <c r="E25" s="13" t="inlineStr">
        <is>
          <t>22.12.2025</t>
        </is>
      </c>
      <c r="F25" s="13" t="inlineStr">
        <is>
          <t>31.01.2026</t>
        </is>
      </c>
      <c r="G25" s="13" t="inlineStr">
        <is>
          <t>2026</t>
        </is>
      </c>
      <c r="H25" s="13" t="inlineStr">
        <is>
          <t>PVC Items</t>
        </is>
      </c>
      <c r="I25" s="13" t="inlineStr">
        <is>
          <t>Classification</t>
        </is>
      </c>
      <c r="J25" s="13" t="inlineStr">
        <is>
          <t>inferred</t>
        </is>
      </c>
      <c r="K25" s="13" t="inlineStr">
        <is>
          <t>CAAR/Del/SP Traders/128/2025-26</t>
        </is>
      </c>
      <c r="L25" s="14" t="inlineStr">
        <is>
          <t>https://www.cbic.gov.in/content/pdf/CONTENTREPO/CAAR/caar-del-128-03022026.pdf</t>
        </is>
      </c>
      <c r="M25" s="13" t="inlineStr">
        <is>
          <t>YES</t>
        </is>
      </c>
    </row>
    <row r="26">
      <c r="A26" s="13" t="inlineStr">
        <is>
          <t>Delhi Rulings</t>
        </is>
      </c>
      <c r="B26" s="13" t="inlineStr">
        <is>
          <t>3</t>
        </is>
      </c>
      <c r="C26" s="13" t="inlineStr">
        <is>
          <t>22</t>
        </is>
      </c>
      <c r="D26" s="13" t="inlineStr">
        <is>
          <t>M/s Shloka Valves (P) Ltd</t>
        </is>
      </c>
      <c r="E26" s="13" t="inlineStr">
        <is>
          <t>23.10.2025</t>
        </is>
      </c>
      <c r="F26" s="13" t="inlineStr">
        <is>
          <t>31.01.2026</t>
        </is>
      </c>
      <c r="G26" s="13" t="inlineStr">
        <is>
          <t>2026</t>
        </is>
      </c>
      <c r="H26" s="13" t="inlineStr">
        <is>
          <t>Brass Rods​</t>
        </is>
      </c>
      <c r="I26" s="13" t="inlineStr">
        <is>
          <t>Classification</t>
        </is>
      </c>
      <c r="J26" s="13" t="inlineStr">
        <is>
          <t>inferred</t>
        </is>
      </c>
      <c r="K26" s="13" t="inlineStr">
        <is>
          <t>CAAR /Del/Shloka/127/2025-26</t>
        </is>
      </c>
      <c r="L26" s="14" t="inlineStr">
        <is>
          <t>https://www.cbic.gov.in/content/pdf/CONTENTREPO/CAAR/caar-del-127-03022026.pdf</t>
        </is>
      </c>
      <c r="M26" s="13" t="inlineStr">
        <is>
          <t>YES</t>
        </is>
      </c>
    </row>
    <row r="27">
      <c r="A27" s="13" t="inlineStr">
        <is>
          <t>Delhi Rulings</t>
        </is>
      </c>
      <c r="B27" s="13" t="inlineStr">
        <is>
          <t>3</t>
        </is>
      </c>
      <c r="C27" s="13" t="inlineStr">
        <is>
          <t>23</t>
        </is>
      </c>
      <c r="D27" s="13" t="inlineStr">
        <is>
          <t>M/s Pooja Rice Industries</t>
        </is>
      </c>
      <c r="E27" s="13" t="inlineStr">
        <is>
          <t>24.12.2025</t>
        </is>
      </c>
      <c r="F27" s="13" t="inlineStr">
        <is>
          <t>30.01.2026</t>
        </is>
      </c>
      <c r="G27" s="13" t="inlineStr">
        <is>
          <t>2026</t>
        </is>
      </c>
      <c r="H27" s="13" t="inlineStr">
        <is>
          <t>The product under consideration i.e PVC Panel is classifiable under tariff entry 3921 or not</t>
        </is>
      </c>
      <c r="I27" s="13" t="inlineStr">
        <is>
          <t>Classification</t>
        </is>
      </c>
      <c r="J27" s="13" t="inlineStr">
        <is>
          <t>explicit</t>
        </is>
      </c>
      <c r="K27" s="13" t="inlineStr">
        <is>
          <t>CAAR/Del/Pooja Rice/125/2025-26</t>
        </is>
      </c>
      <c r="L27" s="14" t="inlineStr">
        <is>
          <t>https://www.cbic.gov.in/content/pdf/CONTENTREPO/CAAR/car-del-125-02022026.pdf</t>
        </is>
      </c>
      <c r="M27" s="13" t="inlineStr">
        <is>
          <t>YES</t>
        </is>
      </c>
    </row>
    <row r="28">
      <c r="A28" s="13" t="inlineStr">
        <is>
          <t>Delhi Rulings</t>
        </is>
      </c>
      <c r="B28" s="13" t="inlineStr">
        <is>
          <t>3</t>
        </is>
      </c>
      <c r="C28" s="13" t="inlineStr">
        <is>
          <t>24</t>
        </is>
      </c>
      <c r="D28" s="13" t="inlineStr">
        <is>
          <t>M/s Lords Interior Private Limited</t>
        </is>
      </c>
      <c r="E28" s="13" t="inlineStr">
        <is>
          <t>16.12.2025</t>
        </is>
      </c>
      <c r="F28" s="13" t="inlineStr">
        <is>
          <t>31.01.2026</t>
        </is>
      </c>
      <c r="G28" s="13" t="inlineStr">
        <is>
          <t>2026</t>
        </is>
      </c>
      <c r="H28" s="13" t="inlineStr">
        <is>
          <t>The product under consideration i.e PVC Panel is classifiable under tariff entry 3921 or not</t>
        </is>
      </c>
      <c r="I28" s="13" t="inlineStr">
        <is>
          <t>Classification</t>
        </is>
      </c>
      <c r="J28" s="13" t="inlineStr">
        <is>
          <t>explicit</t>
        </is>
      </c>
      <c r="K28" s="13" t="inlineStr">
        <is>
          <t>CAAR/Del/Lords/122/2025-26</t>
        </is>
      </c>
      <c r="L28" s="14" t="inlineStr">
        <is>
          <t>https://www.cbic.gov.in/content/pdf/CONTENTREPO/CAAR/car-del-122-02022026.pdf</t>
        </is>
      </c>
      <c r="M28" s="13" t="inlineStr">
        <is>
          <t>YES</t>
        </is>
      </c>
    </row>
    <row r="29">
      <c r="A29" s="13" t="inlineStr">
        <is>
          <t>Delhi Rulings</t>
        </is>
      </c>
      <c r="B29" s="13" t="inlineStr">
        <is>
          <t>3</t>
        </is>
      </c>
      <c r="C29" s="13" t="inlineStr">
        <is>
          <t>25</t>
        </is>
      </c>
      <c r="D29" s="13" t="inlineStr">
        <is>
          <t>M/s. Samsung Display Noida Private Limited</t>
        </is>
      </c>
      <c r="E29" s="13" t="inlineStr">
        <is>
          <t>17.10.2025</t>
        </is>
      </c>
      <c r="F29" s="13" t="inlineStr">
        <is>
          <t>21.01.2026</t>
        </is>
      </c>
      <c r="G29" s="13" t="inlineStr">
        <is>
          <t>2026</t>
        </is>
      </c>
      <c r="H29" s="13" t="inlineStr">
        <is>
          <t>Window Glass</t>
        </is>
      </c>
      <c r="I29" s="13" t="inlineStr">
        <is>
          <t>Classification</t>
        </is>
      </c>
      <c r="J29" s="13" t="inlineStr">
        <is>
          <t>inferred</t>
        </is>
      </c>
      <c r="K29" s="13" t="inlineStr">
        <is>
          <t>CAAR/Del/Samsung/123/2025-26</t>
        </is>
      </c>
      <c r="L29" s="14" t="inlineStr">
        <is>
          <t>https://www.cbic.gov.in/content/pdf/CONTENTREPO/CAAR/caar-delhi-rul-123-21012026.pdf</t>
        </is>
      </c>
      <c r="M29" s="13" t="inlineStr">
        <is>
          <t>YES</t>
        </is>
      </c>
    </row>
    <row r="30">
      <c r="A30" s="13" t="inlineStr">
        <is>
          <t>Delhi Rulings</t>
        </is>
      </c>
      <c r="B30" s="13" t="inlineStr">
        <is>
          <t>3</t>
        </is>
      </c>
      <c r="C30" s="13" t="inlineStr">
        <is>
          <t>26</t>
        </is>
      </c>
      <c r="D30" s="13" t="inlineStr">
        <is>
          <t>M/s Sacred Nuts Private Ltd</t>
        </is>
      </c>
      <c r="E30" s="13" t="inlineStr">
        <is>
          <t>16.07.2025</t>
        </is>
      </c>
      <c r="F30" s="13" t="inlineStr">
        <is>
          <t>15.01.2026</t>
        </is>
      </c>
      <c r="G30" s="13" t="inlineStr">
        <is>
          <t>2026</t>
        </is>
      </c>
      <c r="H30" s="13" t="inlineStr">
        <is>
          <t>Dark Seedles Raisin</t>
        </is>
      </c>
      <c r="I30" s="13" t="inlineStr">
        <is>
          <t>Classification</t>
        </is>
      </c>
      <c r="J30" s="13" t="inlineStr">
        <is>
          <t>inferred</t>
        </is>
      </c>
      <c r="K30" s="13" t="inlineStr">
        <is>
          <t>CAAR/Del/SacredNuts/121/2025-26</t>
        </is>
      </c>
      <c r="L30" s="14" t="inlineStr">
        <is>
          <t>https://www.cbic.gov.in/content/pdf/CONTENTREPO/CAAR/caar-del-order-121-16012026.pdf</t>
        </is>
      </c>
      <c r="M30" s="13" t="inlineStr">
        <is>
          <t>YES</t>
        </is>
      </c>
    </row>
    <row r="31">
      <c r="A31" s="13" t="inlineStr">
        <is>
          <t>Delhi Rulings</t>
        </is>
      </c>
      <c r="B31" s="13" t="inlineStr">
        <is>
          <t>3</t>
        </is>
      </c>
      <c r="C31" s="13" t="inlineStr">
        <is>
          <t>27</t>
        </is>
      </c>
      <c r="D31" s="13" t="inlineStr">
        <is>
          <t>M/s V. G. Enterprises</t>
        </is>
      </c>
      <c r="E31" s="13" t="inlineStr">
        <is>
          <t>27.10.2025</t>
        </is>
      </c>
      <c r="F31" s="13" t="inlineStr">
        <is>
          <t>15.01.2026</t>
        </is>
      </c>
      <c r="G31" s="13" t="inlineStr">
        <is>
          <t>2026</t>
        </is>
      </c>
      <c r="H31" s="13" t="inlineStr"/>
      <c r="I31" s="13" t="inlineStr">
        <is>
          <t>Unspecified</t>
        </is>
      </c>
      <c r="J31" s="13" t="inlineStr">
        <is>
          <t>low</t>
        </is>
      </c>
      <c r="K31" s="13" t="inlineStr">
        <is>
          <t>CAAR/Del/V.G./117-120/2025-26</t>
        </is>
      </c>
      <c r="L31" s="13" t="inlineStr"/>
      <c r="M31" s="13" t="inlineStr">
        <is>
          <t>NO</t>
        </is>
      </c>
    </row>
    <row r="32">
      <c r="A32" s="13" t="inlineStr">
        <is>
          <t>Delhi Rulings</t>
        </is>
      </c>
      <c r="B32" s="13" t="inlineStr">
        <is>
          <t>3</t>
        </is>
      </c>
      <c r="C32" s="13" t="inlineStr">
        <is>
          <t>28</t>
        </is>
      </c>
      <c r="D32" s="13" t="inlineStr">
        <is>
          <t>M/s Danisco India Pvt Ltd.</t>
        </is>
      </c>
      <c r="E32" s="13" t="inlineStr">
        <is>
          <t>10.07.2025</t>
        </is>
      </c>
      <c r="F32" s="13" t="inlineStr">
        <is>
          <t>16.12.2025</t>
        </is>
      </c>
      <c r="G32" s="13" t="inlineStr">
        <is>
          <t>2025</t>
        </is>
      </c>
      <c r="H32" s="13" t="inlineStr">
        <is>
          <t>Danisco Phytase</t>
        </is>
      </c>
      <c r="I32" s="13" t="inlineStr">
        <is>
          <t>Classification</t>
        </is>
      </c>
      <c r="J32" s="13" t="inlineStr">
        <is>
          <t>inferred</t>
        </is>
      </c>
      <c r="K32" s="13" t="inlineStr">
        <is>
          <t>CAAR/Del/Danisco/104/2025</t>
        </is>
      </c>
      <c r="L32" s="14" t="inlineStr">
        <is>
          <t>https://www.cbic.gov.in/content/pdf/CONTENTREPO/CAAR/car-del-104-09012026.pdf</t>
        </is>
      </c>
      <c r="M32" s="13" t="inlineStr">
        <is>
          <t>YES</t>
        </is>
      </c>
    </row>
    <row r="33">
      <c r="A33" s="13" t="inlineStr">
        <is>
          <t>Delhi Rulings</t>
        </is>
      </c>
      <c r="B33" s="13" t="inlineStr">
        <is>
          <t>3</t>
        </is>
      </c>
      <c r="C33" s="13" t="inlineStr">
        <is>
          <t>29</t>
        </is>
      </c>
      <c r="D33" s="13" t="inlineStr">
        <is>
          <t>M/s Danisco India Pvt Ltd.</t>
        </is>
      </c>
      <c r="E33" s="13" t="inlineStr">
        <is>
          <t>15.05.2025</t>
        </is>
      </c>
      <c r="F33" s="13" t="inlineStr">
        <is>
          <t>19.11.2025</t>
        </is>
      </c>
      <c r="G33" s="13" t="inlineStr">
        <is>
          <t>2025</t>
        </is>
      </c>
      <c r="H33" s="13" t="inlineStr">
        <is>
          <t>Linum Life®</t>
        </is>
      </c>
      <c r="I33" s="13" t="inlineStr">
        <is>
          <t>Classification</t>
        </is>
      </c>
      <c r="J33" s="13" t="inlineStr">
        <is>
          <t>inferred</t>
        </is>
      </c>
      <c r="K33" s="13" t="inlineStr">
        <is>
          <t>CAAR/Del/Danisco/93/2025</t>
        </is>
      </c>
      <c r="L33" s="14" t="inlineStr">
        <is>
          <t>https://www.cbic.gov.in/content/pdf/CONTENTREPO/CAAR/car-del-93-09012026.pdf</t>
        </is>
      </c>
      <c r="M33" s="13" t="inlineStr">
        <is>
          <t>YES</t>
        </is>
      </c>
    </row>
    <row r="34">
      <c r="A34" s="13" t="inlineStr">
        <is>
          <t>Delhi Rulings</t>
        </is>
      </c>
      <c r="B34" s="13" t="inlineStr">
        <is>
          <t>3</t>
        </is>
      </c>
      <c r="C34" s="13" t="inlineStr">
        <is>
          <t>30</t>
        </is>
      </c>
      <c r="D34" s="13" t="inlineStr">
        <is>
          <t>M/s Danisco India Pvt Ltd.</t>
        </is>
      </c>
      <c r="E34" s="13" t="inlineStr">
        <is>
          <t>15.05.2025</t>
        </is>
      </c>
      <c r="F34" s="13" t="inlineStr">
        <is>
          <t>18.11.2025</t>
        </is>
      </c>
      <c r="G34" s="13" t="inlineStr">
        <is>
          <t>2025</t>
        </is>
      </c>
      <c r="H34" s="13" t="inlineStr">
        <is>
          <t>AB Fortis</t>
        </is>
      </c>
      <c r="I34" s="13" t="inlineStr">
        <is>
          <t>Classification</t>
        </is>
      </c>
      <c r="J34" s="13" t="inlineStr">
        <is>
          <t>inferred</t>
        </is>
      </c>
      <c r="K34" s="13" t="inlineStr">
        <is>
          <t>CAAR/Del/Danisco/92/2025</t>
        </is>
      </c>
      <c r="L34" s="14" t="inlineStr">
        <is>
          <t>https://www.cbic.gov.in/content/pdf/CONTENTREPO/CAAR/car-del-92-09012026.pdf</t>
        </is>
      </c>
      <c r="M34" s="13" t="inlineStr">
        <is>
          <t>YES</t>
        </is>
      </c>
    </row>
    <row r="35">
      <c r="A35" s="13" t="inlineStr">
        <is>
          <t>Delhi Rulings</t>
        </is>
      </c>
      <c r="B35" s="13" t="inlineStr">
        <is>
          <t>4</t>
        </is>
      </c>
      <c r="C35" s="13" t="inlineStr">
        <is>
          <t>31</t>
        </is>
      </c>
      <c r="D35" s="13" t="inlineStr">
        <is>
          <t>M/s Furo Enterprises</t>
        </is>
      </c>
      <c r="E35" s="13" t="inlineStr">
        <is>
          <t>20.06.2025</t>
        </is>
      </c>
      <c r="F35" s="13" t="inlineStr">
        <is>
          <t>04.11.2025</t>
        </is>
      </c>
      <c r="G35" s="13" t="inlineStr">
        <is>
          <t>2025</t>
        </is>
      </c>
      <c r="H35" s="13" t="inlineStr">
        <is>
          <t>Girl's Slip</t>
        </is>
      </c>
      <c r="I35" s="13" t="inlineStr">
        <is>
          <t>Classification</t>
        </is>
      </c>
      <c r="J35" s="13" t="inlineStr">
        <is>
          <t>inferred</t>
        </is>
      </c>
      <c r="K35" s="13" t="inlineStr">
        <is>
          <t>CAAR/Del/Furo/89/2025</t>
        </is>
      </c>
      <c r="L35" s="14" t="inlineStr">
        <is>
          <t>https://www.cbic.gov.in/content/pdf/CONTENTREPO/CAAR/car-del-89-09012026.pdf</t>
        </is>
      </c>
      <c r="M35" s="13" t="inlineStr">
        <is>
          <t>YES</t>
        </is>
      </c>
    </row>
    <row r="36">
      <c r="A36" s="13" t="inlineStr">
        <is>
          <t>Delhi Rulings</t>
        </is>
      </c>
      <c r="B36" s="13" t="inlineStr">
        <is>
          <t>4</t>
        </is>
      </c>
      <c r="C36" s="13" t="inlineStr">
        <is>
          <t>32</t>
        </is>
      </c>
      <c r="D36" s="13" t="inlineStr">
        <is>
          <t>M/s Honeywell International (India) Pvt. Ltd.</t>
        </is>
      </c>
      <c r="E36" s="13" t="inlineStr">
        <is>
          <t>02.05.2025</t>
        </is>
      </c>
      <c r="F36" s="13" t="inlineStr">
        <is>
          <t>16.10.2025</t>
        </is>
      </c>
      <c r="G36" s="13" t="inlineStr">
        <is>
          <t>2025</t>
        </is>
      </c>
      <c r="H36" s="13" t="inlineStr">
        <is>
          <t>Mobile Computers, Tablet Computers, Wearable Computers and Vehicle-Mounted Computers</t>
        </is>
      </c>
      <c r="I36" s="13" t="inlineStr">
        <is>
          <t>Classification</t>
        </is>
      </c>
      <c r="J36" s="13" t="inlineStr">
        <is>
          <t>inferred</t>
        </is>
      </c>
      <c r="K36" s="13" t="inlineStr">
        <is>
          <t>CAAR/Del/Honeywell/76/2025</t>
        </is>
      </c>
      <c r="L36" s="14" t="inlineStr">
        <is>
          <t>https://www.cbic.gov.in/content/pdf/CONTENTREPO/CAAR/car-del-76-09012026.pdf</t>
        </is>
      </c>
      <c r="M36" s="13" t="inlineStr">
        <is>
          <t>YES</t>
        </is>
      </c>
    </row>
    <row r="37">
      <c r="A37" s="13" t="inlineStr">
        <is>
          <t>Delhi Rulings</t>
        </is>
      </c>
      <c r="B37" s="13" t="inlineStr">
        <is>
          <t>4</t>
        </is>
      </c>
      <c r="C37" s="13" t="inlineStr">
        <is>
          <t>33</t>
        </is>
      </c>
      <c r="D37" s="13" t="inlineStr">
        <is>
          <t>M/s Mitsubishi Electric India Private Limited</t>
        </is>
      </c>
      <c r="E37" s="13" t="inlineStr">
        <is>
          <t>11.09.2025</t>
        </is>
      </c>
      <c r="F37" s="13" t="inlineStr">
        <is>
          <t>01.01.2026</t>
        </is>
      </c>
      <c r="G37" s="13" t="inlineStr">
        <is>
          <t>2026</t>
        </is>
      </c>
      <c r="H37" s="13" t="inlineStr">
        <is>
          <t>The parts of Air conditioners in CKD/SKD condition, under different bills of entry by presenting the</t>
        </is>
      </c>
      <c r="I37" s="13" t="inlineStr">
        <is>
          <t>Classification</t>
        </is>
      </c>
      <c r="J37" s="13" t="inlineStr">
        <is>
          <t>inferred</t>
        </is>
      </c>
      <c r="K37" s="13" t="inlineStr">
        <is>
          <t>CAAR/Del/Mitsubishi/114/2025</t>
        </is>
      </c>
      <c r="L37" s="14" t="inlineStr">
        <is>
          <t>https://www.cbic.gov.in/content/pdf/CONTENTREPO/CAAR/car-del-114-06012026.pdf</t>
        </is>
      </c>
      <c r="M37" s="13" t="inlineStr">
        <is>
          <t>YES</t>
        </is>
      </c>
    </row>
    <row r="38">
      <c r="A38" s="13" t="inlineStr">
        <is>
          <t>Delhi Rulings</t>
        </is>
      </c>
      <c r="B38" s="13" t="inlineStr">
        <is>
          <t>4</t>
        </is>
      </c>
      <c r="C38" s="13" t="inlineStr">
        <is>
          <t>34</t>
        </is>
      </c>
      <c r="D38" s="13" t="inlineStr">
        <is>
          <t>M/s India Medtronic Private Limited</t>
        </is>
      </c>
      <c r="E38" s="13" t="inlineStr">
        <is>
          <t>29.09.2025</t>
        </is>
      </c>
      <c r="F38" s="13" t="inlineStr">
        <is>
          <t>05.12.2025</t>
        </is>
      </c>
      <c r="G38" s="13" t="inlineStr">
        <is>
          <t>2025</t>
        </is>
      </c>
      <c r="H38" s="13" t="inlineStr">
        <is>
          <t>The product under consideration i.e Onyx Embolization System classifiable under tariff entry 9021 39</t>
        </is>
      </c>
      <c r="I38" s="13" t="inlineStr">
        <is>
          <t>Classification</t>
        </is>
      </c>
      <c r="J38" s="13" t="inlineStr">
        <is>
          <t>explicit</t>
        </is>
      </c>
      <c r="K38" s="13" t="inlineStr">
        <is>
          <t>CAAR/Del/India Medtronics/110/2025</t>
        </is>
      </c>
      <c r="L38" s="14" t="inlineStr">
        <is>
          <t>https://www.cbic.gov.in/content/pdf/CONTENTREPO/CAAR/car-del-110-06012026.pdf</t>
        </is>
      </c>
      <c r="M38" s="13" t="inlineStr">
        <is>
          <t>YES</t>
        </is>
      </c>
    </row>
    <row r="39">
      <c r="A39" s="13" t="inlineStr">
        <is>
          <t>Delhi Rulings</t>
        </is>
      </c>
      <c r="B39" s="13" t="inlineStr">
        <is>
          <t>4</t>
        </is>
      </c>
      <c r="C39" s="13" t="inlineStr">
        <is>
          <t>35</t>
        </is>
      </c>
      <c r="D39" s="13" t="inlineStr">
        <is>
          <t>M/s India Medtronic Private Limited</t>
        </is>
      </c>
      <c r="E39" s="13" t="inlineStr">
        <is>
          <t>04.09.2025</t>
        </is>
      </c>
      <c r="F39" s="13" t="inlineStr">
        <is>
          <t>22.12.2025</t>
        </is>
      </c>
      <c r="G39" s="13" t="inlineStr">
        <is>
          <t>2025</t>
        </is>
      </c>
      <c r="H39" s="13" t="inlineStr">
        <is>
          <t>The product under consideration i.e Annuplasty Band is classifiable under tariff entry 9021 39 00 as</t>
        </is>
      </c>
      <c r="I39" s="13" t="inlineStr">
        <is>
          <t>Classification</t>
        </is>
      </c>
      <c r="J39" s="13" t="inlineStr">
        <is>
          <t>explicit</t>
        </is>
      </c>
      <c r="K39" s="13" t="inlineStr">
        <is>
          <t>CAAR/Del/India Medtronics/109/2025</t>
        </is>
      </c>
      <c r="L39" s="14" t="inlineStr">
        <is>
          <t>https://www.cbic.gov.in/content/pdf/CONTENTREPO/CAAR/car-del-109-06012026.pdf</t>
        </is>
      </c>
      <c r="M39" s="13" t="inlineStr">
        <is>
          <t>YES</t>
        </is>
      </c>
    </row>
    <row r="40">
      <c r="A40" s="13" t="inlineStr">
        <is>
          <t>Delhi Rulings</t>
        </is>
      </c>
      <c r="B40" s="13" t="inlineStr">
        <is>
          <t>4</t>
        </is>
      </c>
      <c r="C40" s="13" t="inlineStr">
        <is>
          <t>36</t>
        </is>
      </c>
      <c r="D40" s="13" t="inlineStr">
        <is>
          <t>M/s Starlink Satellite Communication Private Limited</t>
        </is>
      </c>
      <c r="E40" s="13" t="inlineStr">
        <is>
          <t>04.09.2025</t>
        </is>
      </c>
      <c r="F40" s="13" t="inlineStr">
        <is>
          <t>31.12.2025</t>
        </is>
      </c>
      <c r="G40" s="13" t="inlineStr">
        <is>
          <t>2025</t>
        </is>
      </c>
      <c r="H40" s="13" t="inlineStr">
        <is>
          <t>Racks</t>
        </is>
      </c>
      <c r="I40" s="13" t="inlineStr">
        <is>
          <t>Other / Unclear</t>
        </is>
      </c>
      <c r="J40" s="13" t="inlineStr">
        <is>
          <t>low</t>
        </is>
      </c>
      <c r="K40" s="13" t="inlineStr">
        <is>
          <t>CAAR/Del/Starlink/112-113/2025</t>
        </is>
      </c>
      <c r="L40" s="14" t="inlineStr">
        <is>
          <t>https://www.cbic.gov.in/content/pdf/CONTENTREPO/CAAR/car-del-112-113-05012026.pdf</t>
        </is>
      </c>
      <c r="M40" s="13" t="inlineStr">
        <is>
          <t>YES</t>
        </is>
      </c>
    </row>
    <row r="41">
      <c r="A41" s="13" t="inlineStr">
        <is>
          <t>Delhi Rulings</t>
        </is>
      </c>
      <c r="B41" s="13" t="inlineStr">
        <is>
          <t>4</t>
        </is>
      </c>
      <c r="C41" s="13" t="inlineStr">
        <is>
          <t>37</t>
        </is>
      </c>
      <c r="D41" s="13" t="inlineStr">
        <is>
          <t>M/s India Medtronic Private Limited</t>
        </is>
      </c>
      <c r="E41" s="13" t="inlineStr">
        <is>
          <t>02.09.2025</t>
        </is>
      </c>
      <c r="F41" s="13" t="inlineStr">
        <is>
          <t>19.12.2025</t>
        </is>
      </c>
      <c r="G41" s="13" t="inlineStr">
        <is>
          <t>2025</t>
        </is>
      </c>
      <c r="H41" s="13" t="inlineStr">
        <is>
          <t>The product under consideration i.e Solitaire AB stent is classifiable under tariff entry 9021 39 00</t>
        </is>
      </c>
      <c r="I41" s="13" t="inlineStr">
        <is>
          <t>Classification</t>
        </is>
      </c>
      <c r="J41" s="13" t="inlineStr">
        <is>
          <t>explicit</t>
        </is>
      </c>
      <c r="K41" s="13" t="inlineStr">
        <is>
          <t>CAAR/Del/India Medtronics/108/2025</t>
        </is>
      </c>
      <c r="L41" s="14" t="inlineStr">
        <is>
          <t>https://www.cbic.gov.in/content/pdf/CONTENTREPO/VPNcontents/CAAR/caar-del-108-29122025.pdf</t>
        </is>
      </c>
      <c r="M41" s="13" t="inlineStr">
        <is>
          <t>YES</t>
        </is>
      </c>
    </row>
    <row r="42">
      <c r="A42" s="13" t="inlineStr">
        <is>
          <t>Delhi Rulings</t>
        </is>
      </c>
      <c r="B42" s="13" t="inlineStr">
        <is>
          <t>4</t>
        </is>
      </c>
      <c r="C42" s="13" t="inlineStr">
        <is>
          <t>38</t>
        </is>
      </c>
      <c r="D42" s="13" t="inlineStr">
        <is>
          <t>M/s ATL Battery Technology (India) Private Limited</t>
        </is>
      </c>
      <c r="E42" s="13" t="inlineStr">
        <is>
          <t>08.05.2025</t>
        </is>
      </c>
      <c r="F42" s="13" t="inlineStr">
        <is>
          <t>18.12.2025</t>
        </is>
      </c>
      <c r="G42" s="13" t="inlineStr">
        <is>
          <t>2025</t>
        </is>
      </c>
      <c r="H42" s="13" t="inlineStr">
        <is>
          <t>Sub-parts, inputs and raw materials to manufacture Lithium-ion cells</t>
        </is>
      </c>
      <c r="I42" s="13" t="inlineStr">
        <is>
          <t>Classification</t>
        </is>
      </c>
      <c r="J42" s="13" t="inlineStr">
        <is>
          <t>inferred</t>
        </is>
      </c>
      <c r="K42" s="13" t="inlineStr">
        <is>
          <t>CAAR/Del/ATL/107/2025</t>
        </is>
      </c>
      <c r="L42" s="14" t="inlineStr">
        <is>
          <t>https://www.cbic.gov.in/content/pdf/CONTENTREPO/CAAR/caar-delhi-rul-107-19122025.pdf</t>
        </is>
      </c>
      <c r="M42" s="13" t="inlineStr">
        <is>
          <t>YES</t>
        </is>
      </c>
    </row>
    <row r="43">
      <c r="A43" s="13" t="inlineStr">
        <is>
          <t>Delhi Rulings</t>
        </is>
      </c>
      <c r="B43" s="13" t="inlineStr">
        <is>
          <t>4</t>
        </is>
      </c>
      <c r="C43" s="13" t="inlineStr">
        <is>
          <t>39</t>
        </is>
      </c>
      <c r="D43" s="13" t="inlineStr">
        <is>
          <t>M/s Qaigen India Pvt. Ltd.</t>
        </is>
      </c>
      <c r="E43" s="13" t="inlineStr">
        <is>
          <t>18.12.2024</t>
        </is>
      </c>
      <c r="F43" s="13" t="inlineStr">
        <is>
          <t>18.12.2025</t>
        </is>
      </c>
      <c r="G43" s="13" t="inlineStr">
        <is>
          <t>2025</t>
        </is>
      </c>
      <c r="H43" s="13" t="inlineStr">
        <is>
          <t>Filter Tips</t>
        </is>
      </c>
      <c r="I43" s="13" t="inlineStr">
        <is>
          <t>Classification</t>
        </is>
      </c>
      <c r="J43" s="13" t="inlineStr">
        <is>
          <t>inferred</t>
        </is>
      </c>
      <c r="K43" s="13" t="inlineStr">
        <is>
          <t>CAAR/Del/Qiagen/106/2025</t>
        </is>
      </c>
      <c r="L43" s="14" t="inlineStr">
        <is>
          <t>https://www.cbic.gov.in/content/pdf/CONTENTREPO/CAAR/caar-delhi-rul-106-19122025.pdf</t>
        </is>
      </c>
      <c r="M43" s="13" t="inlineStr">
        <is>
          <t>YES</t>
        </is>
      </c>
    </row>
    <row r="44">
      <c r="A44" s="13" t="inlineStr">
        <is>
          <t>Delhi Rulings</t>
        </is>
      </c>
      <c r="B44" s="13" t="inlineStr">
        <is>
          <t>4</t>
        </is>
      </c>
      <c r="C44" s="13" t="inlineStr">
        <is>
          <t>40</t>
        </is>
      </c>
      <c r="D44" s="13" t="inlineStr">
        <is>
          <t>M/s Qaigen India Pvt. Ltd.</t>
        </is>
      </c>
      <c r="E44" s="13" t="inlineStr">
        <is>
          <t>25.12.2025</t>
        </is>
      </c>
      <c r="F44" s="13" t="inlineStr">
        <is>
          <t>17.12.2025</t>
        </is>
      </c>
      <c r="G44" s="13" t="inlineStr">
        <is>
          <t>2025</t>
        </is>
      </c>
      <c r="H44" s="13" t="inlineStr">
        <is>
          <t>Diagnosis kits</t>
        </is>
      </c>
      <c r="I44" s="13" t="inlineStr">
        <is>
          <t>Classification</t>
        </is>
      </c>
      <c r="J44" s="13" t="inlineStr">
        <is>
          <t>inferred</t>
        </is>
      </c>
      <c r="K44" s="13" t="inlineStr">
        <is>
          <t>CAAR/Del/Qiagen/105/2025</t>
        </is>
      </c>
      <c r="L44" s="14" t="inlineStr">
        <is>
          <t>https://www.cbic.gov.in/content/pdf/CONTENTREPO/CAAR/caar-delhi-rul-105-19122025.pdf</t>
        </is>
      </c>
      <c r="M44" s="13" t="inlineStr">
        <is>
          <t>YES</t>
        </is>
      </c>
    </row>
    <row r="45">
      <c r="A45" s="13" t="inlineStr">
        <is>
          <t>Delhi Rulings</t>
        </is>
      </c>
      <c r="B45" s="13" t="inlineStr">
        <is>
          <t>5</t>
        </is>
      </c>
      <c r="C45" s="13" t="inlineStr">
        <is>
          <t>41</t>
        </is>
      </c>
      <c r="D45" s="13" t="inlineStr">
        <is>
          <t>M/s ATL Battery Technology (India) Private Limited</t>
        </is>
      </c>
      <c r="E45" s="13" t="inlineStr">
        <is>
          <t>08.05.2025</t>
        </is>
      </c>
      <c r="F45" s="13" t="inlineStr">
        <is>
          <t>18.12.2025</t>
        </is>
      </c>
      <c r="G45" s="13" t="inlineStr">
        <is>
          <t>2025</t>
        </is>
      </c>
      <c r="H45" s="13" t="inlineStr">
        <is>
          <t>Sub-parts, inputs and raw materials to manufacture Lithium-ion cells</t>
        </is>
      </c>
      <c r="I45" s="13" t="inlineStr">
        <is>
          <t>Classification</t>
        </is>
      </c>
      <c r="J45" s="13" t="inlineStr">
        <is>
          <t>inferred</t>
        </is>
      </c>
      <c r="K45" s="13" t="inlineStr">
        <is>
          <t>CAAR/Del/ATL/103/2025</t>
        </is>
      </c>
      <c r="L45" s="14" t="inlineStr">
        <is>
          <t>https://www.cbic.gov.in/content/pdf/CONTENTREPO/CAAR/caar-delhi-rul-103-20122025.pdf</t>
        </is>
      </c>
      <c r="M45" s="13" t="inlineStr">
        <is>
          <t>YES</t>
        </is>
      </c>
    </row>
    <row r="46">
      <c r="A46" s="13" t="inlineStr">
        <is>
          <t>Delhi Rulings</t>
        </is>
      </c>
      <c r="B46" s="13" t="inlineStr">
        <is>
          <t>5</t>
        </is>
      </c>
      <c r="C46" s="13" t="inlineStr">
        <is>
          <t>42</t>
        </is>
      </c>
      <c r="D46" s="13" t="inlineStr">
        <is>
          <t>M/s India Medtronic Private Limited</t>
        </is>
      </c>
      <c r="E46" s="13" t="inlineStr">
        <is>
          <t>04.09.2025</t>
        </is>
      </c>
      <c r="F46" s="13" t="inlineStr">
        <is>
          <t>08.12.2025</t>
        </is>
      </c>
      <c r="G46" s="13" t="inlineStr">
        <is>
          <t>2025</t>
        </is>
      </c>
      <c r="H46" s="13" t="inlineStr">
        <is>
          <t>The product under consideration i.e Solitaire AB stent is classifiable under tariff entry 9021 39 00</t>
        </is>
      </c>
      <c r="I46" s="13" t="inlineStr">
        <is>
          <t>Classification</t>
        </is>
      </c>
      <c r="J46" s="13" t="inlineStr">
        <is>
          <t>explicit</t>
        </is>
      </c>
      <c r="K46" s="13" t="inlineStr">
        <is>
          <t>CAAR/Del/India Medtronics/101/2025</t>
        </is>
      </c>
      <c r="L46" s="14" t="inlineStr">
        <is>
          <t>https://www.cbic.gov.in/content/pdf/CONTENTREPO/VPNcontents/CAAR/caar-del-101-29122025.pdf</t>
        </is>
      </c>
      <c r="M46" s="13" t="inlineStr">
        <is>
          <t>YES</t>
        </is>
      </c>
    </row>
    <row r="47">
      <c r="A47" s="13" t="inlineStr">
        <is>
          <t>Delhi Rulings</t>
        </is>
      </c>
      <c r="B47" s="13" t="inlineStr">
        <is>
          <t>5</t>
        </is>
      </c>
      <c r="C47" s="13" t="inlineStr">
        <is>
          <t>43</t>
        </is>
      </c>
      <c r="D47" s="13" t="inlineStr">
        <is>
          <t>M/s India Medtronic Private Limited</t>
        </is>
      </c>
      <c r="E47" s="13" t="inlineStr">
        <is>
          <t>04.09.2025</t>
        </is>
      </c>
      <c r="F47" s="13" t="inlineStr">
        <is>
          <t>05.12.2025</t>
        </is>
      </c>
      <c r="G47" s="13" t="inlineStr">
        <is>
          <t>2025</t>
        </is>
      </c>
      <c r="H47" s="13" t="inlineStr">
        <is>
          <t>The product under consideration i.e Embolization coils classifiable under tariff entry 9021 39 00 as</t>
        </is>
      </c>
      <c r="I47" s="13" t="inlineStr">
        <is>
          <t>Classification</t>
        </is>
      </c>
      <c r="J47" s="13" t="inlineStr">
        <is>
          <t>explicit</t>
        </is>
      </c>
      <c r="K47" s="13" t="inlineStr">
        <is>
          <t>CAAR/Del/India Medtronics/100/2025</t>
        </is>
      </c>
      <c r="L47" s="14" t="inlineStr">
        <is>
          <t>https://www.cbic.gov.in/content/pdf/CONTENTREPO/VPNcontents/CAAR/caar-del-100-29122025.pdf</t>
        </is>
      </c>
      <c r="M47" s="13" t="inlineStr">
        <is>
          <t>YES</t>
        </is>
      </c>
    </row>
    <row r="48">
      <c r="A48" s="13" t="inlineStr">
        <is>
          <t>Delhi Rulings</t>
        </is>
      </c>
      <c r="B48" s="13" t="inlineStr">
        <is>
          <t>5</t>
        </is>
      </c>
      <c r="C48" s="13" t="inlineStr">
        <is>
          <t>44</t>
        </is>
      </c>
      <c r="D48" s="13" t="inlineStr">
        <is>
          <t>M/s India Medtronic Private Limited</t>
        </is>
      </c>
      <c r="E48" s="13" t="inlineStr">
        <is>
          <t>04.09.2025</t>
        </is>
      </c>
      <c r="F48" s="13" t="inlineStr">
        <is>
          <t>04.12.2025</t>
        </is>
      </c>
      <c r="G48" s="13" t="inlineStr">
        <is>
          <t>2025</t>
        </is>
      </c>
      <c r="H48" s="13" t="inlineStr">
        <is>
          <t>The product under consideration i.e Axium Coil is classifiable under tariff entry 9021 39 00 as Othe</t>
        </is>
      </c>
      <c r="I48" s="13" t="inlineStr">
        <is>
          <t>Classification</t>
        </is>
      </c>
      <c r="J48" s="13" t="inlineStr">
        <is>
          <t>explicit</t>
        </is>
      </c>
      <c r="K48" s="13" t="inlineStr">
        <is>
          <t>CAAR/Del/India Medtronics/99/2025</t>
        </is>
      </c>
      <c r="L48" s="14" t="inlineStr">
        <is>
          <t>https://www.cbic.gov.in/content/pdf/CONTENTREPO/VPNcontents/CAAR/caar-del-99-29122025.pdf</t>
        </is>
      </c>
      <c r="M48" s="13" t="inlineStr">
        <is>
          <t>YES</t>
        </is>
      </c>
    </row>
    <row r="49">
      <c r="A49" s="13" t="inlineStr">
        <is>
          <t>Delhi Rulings</t>
        </is>
      </c>
      <c r="B49" s="13" t="inlineStr">
        <is>
          <t>5</t>
        </is>
      </c>
      <c r="C49" s="13" t="inlineStr">
        <is>
          <t>45</t>
        </is>
      </c>
      <c r="D49" s="13" t="inlineStr">
        <is>
          <t>M/s Qiagen India Pvt Ltd</t>
        </is>
      </c>
      <c r="E49" s="13" t="inlineStr">
        <is>
          <t>24.12.2024</t>
        </is>
      </c>
      <c r="F49" s="13" t="inlineStr">
        <is>
          <t>01.12.2025</t>
        </is>
      </c>
      <c r="G49" s="13" t="inlineStr">
        <is>
          <t>2025</t>
        </is>
      </c>
      <c r="H49" s="13" t="inlineStr">
        <is>
          <t>Spectrometers</t>
        </is>
      </c>
      <c r="I49" s="13" t="inlineStr">
        <is>
          <t>Classification</t>
        </is>
      </c>
      <c r="J49" s="13" t="inlineStr">
        <is>
          <t>inferred</t>
        </is>
      </c>
      <c r="K49" s="13" t="inlineStr">
        <is>
          <t>CAAR/Del/Qiagen/98/2025</t>
        </is>
      </c>
      <c r="L49" s="14" t="inlineStr">
        <is>
          <t>https://www.cbic.gov.in/content/pdf/CONTENTREPO/CAAR/caar-del-98-08122025.pdf</t>
        </is>
      </c>
      <c r="M49" s="13" t="inlineStr">
        <is>
          <t>YES</t>
        </is>
      </c>
    </row>
    <row r="50">
      <c r="A50" s="13" t="inlineStr">
        <is>
          <t>Delhi Rulings</t>
        </is>
      </c>
      <c r="B50" s="13" t="inlineStr">
        <is>
          <t>5</t>
        </is>
      </c>
      <c r="C50" s="13" t="inlineStr">
        <is>
          <t>46</t>
        </is>
      </c>
      <c r="D50" s="13" t="inlineStr">
        <is>
          <t>M/s Qiagen India Pvt Ltd</t>
        </is>
      </c>
      <c r="E50" s="13" t="inlineStr">
        <is>
          <t>24.12.2024</t>
        </is>
      </c>
      <c r="F50" s="13" t="inlineStr">
        <is>
          <t>26.11.2025</t>
        </is>
      </c>
      <c r="G50" s="13" t="inlineStr">
        <is>
          <t>2025</t>
        </is>
      </c>
      <c r="H50" s="13" t="inlineStr">
        <is>
          <t>Diagnostic Kits/Reagents/Instruments</t>
        </is>
      </c>
      <c r="I50" s="13" t="inlineStr">
        <is>
          <t>Classification</t>
        </is>
      </c>
      <c r="J50" s="13" t="inlineStr">
        <is>
          <t>inferred</t>
        </is>
      </c>
      <c r="K50" s="13" t="inlineStr">
        <is>
          <t>CAAR/Del/Qiagen/97/2025</t>
        </is>
      </c>
      <c r="L50" s="14" t="inlineStr">
        <is>
          <t>https://www.cbic.gov.in/content/pdf/CONTENTREPO/CAAR/car-del-97-27112025.pdf</t>
        </is>
      </c>
      <c r="M50" s="13" t="inlineStr">
        <is>
          <t>YES</t>
        </is>
      </c>
    </row>
    <row r="51">
      <c r="A51" s="13" t="inlineStr">
        <is>
          <t>Delhi Rulings</t>
        </is>
      </c>
      <c r="B51" s="13" t="inlineStr">
        <is>
          <t>5</t>
        </is>
      </c>
      <c r="C51" s="13" t="inlineStr">
        <is>
          <t>47</t>
        </is>
      </c>
      <c r="D51" s="13" t="inlineStr">
        <is>
          <t>M/s ATL battery Technology India Pvt Ltd</t>
        </is>
      </c>
      <c r="E51" s="13" t="inlineStr">
        <is>
          <t>08.05.2025</t>
        </is>
      </c>
      <c r="F51" s="13" t="inlineStr">
        <is>
          <t>26.11.2025</t>
        </is>
      </c>
      <c r="G51" s="13" t="inlineStr">
        <is>
          <t>2025</t>
        </is>
      </c>
      <c r="H51" s="13" t="inlineStr">
        <is>
          <t>Parts of Lithium Ion Cells</t>
        </is>
      </c>
      <c r="I51" s="13" t="inlineStr">
        <is>
          <t>Classification</t>
        </is>
      </c>
      <c r="J51" s="13" t="inlineStr">
        <is>
          <t>inferred</t>
        </is>
      </c>
      <c r="K51" s="13" t="inlineStr">
        <is>
          <t>CAAR/Del/ATL/96/2025</t>
        </is>
      </c>
      <c r="L51" s="14" t="inlineStr">
        <is>
          <t>https://www.cbic.gov.in/content/pdf/CONTENTREPO/CAAR/car-del-96-27112025.pdf</t>
        </is>
      </c>
      <c r="M51" s="13" t="inlineStr">
        <is>
          <t>YES</t>
        </is>
      </c>
    </row>
    <row r="52">
      <c r="A52" s="13" t="inlineStr">
        <is>
          <t>Delhi Rulings</t>
        </is>
      </c>
      <c r="B52" s="13" t="inlineStr">
        <is>
          <t>5</t>
        </is>
      </c>
      <c r="C52" s="13" t="inlineStr">
        <is>
          <t>48</t>
        </is>
      </c>
      <c r="D52" s="13" t="inlineStr">
        <is>
          <t>M/s Stufa Manufacturing Enterprises</t>
        </is>
      </c>
      <c r="E52" s="13" t="inlineStr">
        <is>
          <t>04.09.2025</t>
        </is>
      </c>
      <c r="F52" s="13" t="inlineStr">
        <is>
          <t>24.11.2025</t>
        </is>
      </c>
      <c r="G52" s="13" t="inlineStr">
        <is>
          <t>2025</t>
        </is>
      </c>
      <c r="H52" s="13" t="inlineStr">
        <is>
          <t>OTG parts</t>
        </is>
      </c>
      <c r="I52" s="13" t="inlineStr">
        <is>
          <t>Classification</t>
        </is>
      </c>
      <c r="J52" s="13" t="inlineStr">
        <is>
          <t>inferred</t>
        </is>
      </c>
      <c r="K52" s="13" t="inlineStr">
        <is>
          <t>CAAR/Del/Stufa/95/2025</t>
        </is>
      </c>
      <c r="L52" s="14" t="inlineStr">
        <is>
          <t>https://www.cbic.gov.in/content/pdf/CONTENTREPO/CAAR/car-del-95-27112025.pdf</t>
        </is>
      </c>
      <c r="M52" s="13" t="inlineStr">
        <is>
          <t>YES</t>
        </is>
      </c>
    </row>
    <row r="53">
      <c r="A53" s="13" t="inlineStr">
        <is>
          <t>Delhi Rulings</t>
        </is>
      </c>
      <c r="B53" s="13" t="inlineStr">
        <is>
          <t>5</t>
        </is>
      </c>
      <c r="C53" s="13" t="inlineStr">
        <is>
          <t>49</t>
        </is>
      </c>
      <c r="D53" s="13" t="inlineStr">
        <is>
          <t>M/s Qiagen India Pvt Ltd</t>
        </is>
      </c>
      <c r="E53" s="13" t="inlineStr">
        <is>
          <t>19.12.2024</t>
        </is>
      </c>
      <c r="F53" s="13" t="inlineStr">
        <is>
          <t>19.11.2025</t>
        </is>
      </c>
      <c r="G53" s="13" t="inlineStr">
        <is>
          <t>2025</t>
        </is>
      </c>
      <c r="H53" s="13" t="inlineStr">
        <is>
          <t>Diagnostic Kits/Reagents/Instruments</t>
        </is>
      </c>
      <c r="I53" s="13" t="inlineStr">
        <is>
          <t>Classification</t>
        </is>
      </c>
      <c r="J53" s="13" t="inlineStr">
        <is>
          <t>inferred</t>
        </is>
      </c>
      <c r="K53" s="13" t="inlineStr">
        <is>
          <t>CAAR/Del/Qiagen/94/2025</t>
        </is>
      </c>
      <c r="L53" s="14" t="inlineStr">
        <is>
          <t>https://www.cbic.gov.in/content/pdf/CONTENTREPO/CAAR/car-del-94-27112025.pdf</t>
        </is>
      </c>
      <c r="M53" s="13" t="inlineStr">
        <is>
          <t>YES</t>
        </is>
      </c>
    </row>
    <row r="54">
      <c r="A54" s="13" t="inlineStr">
        <is>
          <t>Delhi Rulings</t>
        </is>
      </c>
      <c r="B54" s="13" t="inlineStr">
        <is>
          <t>5</t>
        </is>
      </c>
      <c r="C54" s="13" t="inlineStr">
        <is>
          <t>50</t>
        </is>
      </c>
      <c r="D54" s="13" t="inlineStr">
        <is>
          <t>M/s Hingpu Overseas</t>
        </is>
      </c>
      <c r="E54" s="13" t="inlineStr">
        <is>
          <t>13.05.2025</t>
        </is>
      </c>
      <c r="F54" s="13" t="inlineStr">
        <is>
          <t>13.11.2025</t>
        </is>
      </c>
      <c r="G54" s="13" t="inlineStr">
        <is>
          <t>2025</t>
        </is>
      </c>
      <c r="H54" s="13" t="inlineStr">
        <is>
          <t>Beer</t>
        </is>
      </c>
      <c r="I54" s="13" t="inlineStr">
        <is>
          <t>Other / Unclear</t>
        </is>
      </c>
      <c r="J54" s="13" t="inlineStr">
        <is>
          <t>low</t>
        </is>
      </c>
      <c r="K54" s="13" t="inlineStr">
        <is>
          <t>CAAR/Del/91/2025</t>
        </is>
      </c>
      <c r="L54" s="14" t="inlineStr">
        <is>
          <t>https://www.cbic.gov.in/content/pdf/CONTENTREPO/CAAR/caar-del-91-21112025.pdf</t>
        </is>
      </c>
      <c r="M54" s="13" t="inlineStr">
        <is>
          <t>YES</t>
        </is>
      </c>
    </row>
    <row r="55">
      <c r="A55" s="13" t="inlineStr">
        <is>
          <t>Delhi Rulings</t>
        </is>
      </c>
      <c r="B55" s="13" t="inlineStr">
        <is>
          <t>6</t>
        </is>
      </c>
      <c r="C55" s="13" t="inlineStr">
        <is>
          <t>51</t>
        </is>
      </c>
      <c r="D55" s="13" t="inlineStr">
        <is>
          <t>M/s Vivo Mobile India Limited</t>
        </is>
      </c>
      <c r="E55" s="13" t="inlineStr">
        <is>
          <t>03.01.2025</t>
        </is>
      </c>
      <c r="F55" s="13" t="inlineStr">
        <is>
          <t>12.11.2025</t>
        </is>
      </c>
      <c r="G55" s="13" t="inlineStr">
        <is>
          <t>2025</t>
        </is>
      </c>
      <c r="H55" s="13" t="inlineStr">
        <is>
          <t>Mobile parts</t>
        </is>
      </c>
      <c r="I55" s="13" t="inlineStr">
        <is>
          <t>Classification</t>
        </is>
      </c>
      <c r="J55" s="13" t="inlineStr">
        <is>
          <t>inferred</t>
        </is>
      </c>
      <c r="K55" s="13" t="inlineStr">
        <is>
          <t>CAAR/Del/Vivo/90/2025</t>
        </is>
      </c>
      <c r="L55" s="14" t="inlineStr">
        <is>
          <t>https://www.cbic.gov.in/content/pdf/CONTENTREPO/CAAR/caar-del-90-21112025.pdf</t>
        </is>
      </c>
      <c r="M55" s="13" t="inlineStr">
        <is>
          <t>YES</t>
        </is>
      </c>
    </row>
    <row r="56">
      <c r="A56" s="13" t="inlineStr">
        <is>
          <t>Delhi Rulings</t>
        </is>
      </c>
      <c r="B56" s="13" t="inlineStr">
        <is>
          <t>6</t>
        </is>
      </c>
      <c r="C56" s="13" t="inlineStr">
        <is>
          <t>52</t>
        </is>
      </c>
      <c r="D56" s="13" t="inlineStr">
        <is>
          <t>M/s Rohde &amp; Schwarz India Private Limited</t>
        </is>
      </c>
      <c r="E56" s="13" t="inlineStr">
        <is>
          <t>16.04.2025</t>
        </is>
      </c>
      <c r="F56" s="13" t="inlineStr">
        <is>
          <t>23.10.2025</t>
        </is>
      </c>
      <c r="G56" s="13" t="inlineStr">
        <is>
          <t>2025</t>
        </is>
      </c>
      <c r="H56" s="13" t="inlineStr">
        <is>
          <t>Spectrum Analysers</t>
        </is>
      </c>
      <c r="I56" s="13" t="inlineStr">
        <is>
          <t>Classification</t>
        </is>
      </c>
      <c r="J56" s="13" t="inlineStr">
        <is>
          <t>inferred</t>
        </is>
      </c>
      <c r="K56" s="13" t="inlineStr">
        <is>
          <t>CAAR/Del/Rhode/85, 86, 87, 88/2025</t>
        </is>
      </c>
      <c r="L56" s="14" t="inlineStr">
        <is>
          <t>https://www.cbic.gov.in/content/pdf/CONTENTREPO/CAAR/caar-del-roh-85-88-27102025.pdf</t>
        </is>
      </c>
      <c r="M56" s="13" t="inlineStr">
        <is>
          <t>YES</t>
        </is>
      </c>
    </row>
    <row r="57">
      <c r="A57" s="13" t="inlineStr">
        <is>
          <t>Delhi Rulings</t>
        </is>
      </c>
      <c r="B57" s="13" t="inlineStr">
        <is>
          <t>6</t>
        </is>
      </c>
      <c r="C57" s="13" t="inlineStr">
        <is>
          <t>53</t>
        </is>
      </c>
      <c r="D57" s="13" t="inlineStr">
        <is>
          <t>M/s Rohde &amp; Schwarz India Private Limited</t>
        </is>
      </c>
      <c r="E57" s="13" t="inlineStr">
        <is>
          <t>16.04.2025</t>
        </is>
      </c>
      <c r="F57" s="13" t="inlineStr">
        <is>
          <t>22.10.2025</t>
        </is>
      </c>
      <c r="G57" s="13" t="inlineStr">
        <is>
          <t>2025</t>
        </is>
      </c>
      <c r="H57" s="13" t="inlineStr">
        <is>
          <t>R&amp;S® CMA 180 Radio Test Set</t>
        </is>
      </c>
      <c r="I57" s="13" t="inlineStr">
        <is>
          <t>Classification</t>
        </is>
      </c>
      <c r="J57" s="13" t="inlineStr">
        <is>
          <t>inferred</t>
        </is>
      </c>
      <c r="K57" s="13" t="inlineStr">
        <is>
          <t>CAAR/Del/Rhode/81, 82, 83, 84/2025</t>
        </is>
      </c>
      <c r="L57" s="14" t="inlineStr">
        <is>
          <t>https://www.cbic.gov.in/content/pdf/CONTENTREPO/CAAR/caar-del-roh-81-84-27102025.pdf</t>
        </is>
      </c>
      <c r="M57" s="13" t="inlineStr">
        <is>
          <t>YES</t>
        </is>
      </c>
    </row>
    <row r="58">
      <c r="A58" s="13" t="inlineStr">
        <is>
          <t>Delhi Rulings</t>
        </is>
      </c>
      <c r="B58" s="13" t="inlineStr">
        <is>
          <t>6</t>
        </is>
      </c>
      <c r="C58" s="13" t="inlineStr">
        <is>
          <t>54</t>
        </is>
      </c>
      <c r="D58" s="13" t="inlineStr">
        <is>
          <t>M/s Rohde &amp; Schwarz India Private Limited</t>
        </is>
      </c>
      <c r="E58" s="13" t="inlineStr">
        <is>
          <t>19.05.2025</t>
        </is>
      </c>
      <c r="F58" s="13" t="inlineStr">
        <is>
          <t>17.10.2025</t>
        </is>
      </c>
      <c r="G58" s="13" t="inlineStr">
        <is>
          <t>2025</t>
        </is>
      </c>
      <c r="H58" s="13" t="inlineStr">
        <is>
          <t>PVT 360A Performance Vector Tester</t>
        </is>
      </c>
      <c r="I58" s="13" t="inlineStr">
        <is>
          <t>Classification</t>
        </is>
      </c>
      <c r="J58" s="13" t="inlineStr">
        <is>
          <t>inferred</t>
        </is>
      </c>
      <c r="K58" s="13" t="inlineStr">
        <is>
          <t>CAAR/Del/Rhode/77, 78, 79, 80/2025</t>
        </is>
      </c>
      <c r="L58" s="14" t="inlineStr">
        <is>
          <t>https://www.cbic.gov.in/content/pdf/CONTENTREPO/CAAR/caar-del-roh-77-80-27102025.pdf</t>
        </is>
      </c>
      <c r="M58" s="13" t="inlineStr">
        <is>
          <t>YES</t>
        </is>
      </c>
    </row>
    <row r="59">
      <c r="A59" s="13" t="inlineStr">
        <is>
          <t>Delhi Rulings</t>
        </is>
      </c>
      <c r="B59" s="13" t="inlineStr">
        <is>
          <t>6</t>
        </is>
      </c>
      <c r="C59" s="13" t="inlineStr">
        <is>
          <t>55</t>
        </is>
      </c>
      <c r="D59" s="13" t="inlineStr">
        <is>
          <t>M/s Samsung India Electronics Private Limited</t>
        </is>
      </c>
      <c r="E59" s="13" t="inlineStr">
        <is>
          <t>11.06.2025</t>
        </is>
      </c>
      <c r="F59" s="13" t="inlineStr">
        <is>
          <t>14.10.2025</t>
        </is>
      </c>
      <c r="G59" s="13" t="inlineStr">
        <is>
          <t>2025</t>
        </is>
      </c>
      <c r="H59" s="13" t="inlineStr">
        <is>
          <t>Wired Remote Controller</t>
        </is>
      </c>
      <c r="I59" s="13" t="inlineStr">
        <is>
          <t>Classification</t>
        </is>
      </c>
      <c r="J59" s="13" t="inlineStr">
        <is>
          <t>inferred</t>
        </is>
      </c>
      <c r="K59" s="13" t="inlineStr">
        <is>
          <t>CAAR/Del/Samsung India/75/2025</t>
        </is>
      </c>
      <c r="L59" s="14" t="inlineStr">
        <is>
          <t>https://www.cbic.gov.in/content/pdf/CONTENTREPO/CAAR/caar-del-samsang-75-16102025.pdf</t>
        </is>
      </c>
      <c r="M59" s="13" t="inlineStr">
        <is>
          <t>YES</t>
        </is>
      </c>
    </row>
    <row r="60">
      <c r="A60" s="13" t="inlineStr">
        <is>
          <t>Delhi Rulings</t>
        </is>
      </c>
      <c r="B60" s="13" t="inlineStr">
        <is>
          <t>6</t>
        </is>
      </c>
      <c r="C60" s="13" t="inlineStr">
        <is>
          <t>56</t>
        </is>
      </c>
      <c r="D60" s="13" t="inlineStr">
        <is>
          <t>M/s Samkwang India Electronics Private Limited</t>
        </is>
      </c>
      <c r="E60" s="13" t="inlineStr">
        <is>
          <t>04.06.2025</t>
        </is>
      </c>
      <c r="F60" s="13" t="inlineStr">
        <is>
          <t>14.10.2025</t>
        </is>
      </c>
      <c r="G60" s="13" t="inlineStr">
        <is>
          <t>2025</t>
        </is>
      </c>
      <c r="H60" s="13" t="inlineStr">
        <is>
          <t>Assy Case Front or Front Cover</t>
        </is>
      </c>
      <c r="I60" s="13" t="inlineStr">
        <is>
          <t>Classification</t>
        </is>
      </c>
      <c r="J60" s="13" t="inlineStr">
        <is>
          <t>inferred</t>
        </is>
      </c>
      <c r="K60" s="13" t="inlineStr">
        <is>
          <t>CAAR/Del/Samkwang/74/2025</t>
        </is>
      </c>
      <c r="L60" s="14" t="inlineStr">
        <is>
          <t>https://www.cbic.gov.in/content/pdf/CONTENTREPO/CAAR/caar-del-samkwang-74-16102025.pdf</t>
        </is>
      </c>
      <c r="M60" s="13" t="inlineStr">
        <is>
          <t>YES</t>
        </is>
      </c>
    </row>
    <row r="61">
      <c r="A61" s="13" t="inlineStr">
        <is>
          <t>Delhi Rulings</t>
        </is>
      </c>
      <c r="B61" s="13" t="inlineStr">
        <is>
          <t>6</t>
        </is>
      </c>
      <c r="C61" s="13" t="inlineStr">
        <is>
          <t>57</t>
        </is>
      </c>
      <c r="D61" s="13" t="inlineStr">
        <is>
          <t>M/s QIAGEN India Pvt. Ltd.</t>
        </is>
      </c>
      <c r="E61" s="13" t="inlineStr">
        <is>
          <t>18.12.2024</t>
        </is>
      </c>
      <c r="F61" s="13" t="inlineStr">
        <is>
          <t>11.08.2025</t>
        </is>
      </c>
      <c r="G61" s="13" t="inlineStr">
        <is>
          <t>2025</t>
        </is>
      </c>
      <c r="H61" s="13" t="inlineStr">
        <is>
          <t>Nuclease Free Water</t>
        </is>
      </c>
      <c r="I61" s="13" t="inlineStr">
        <is>
          <t>Classification</t>
        </is>
      </c>
      <c r="J61" s="13" t="inlineStr">
        <is>
          <t>inferred</t>
        </is>
      </c>
      <c r="K61" s="13" t="inlineStr">
        <is>
          <t>CAAR/Del/QIAGEN/47/2025</t>
        </is>
      </c>
      <c r="L61" s="14" t="inlineStr">
        <is>
          <t>https://www.cbic.gov.in/content/pdf/CONTENTREPO/CAAR/car-del-47-13102025.pdf</t>
        </is>
      </c>
      <c r="M61" s="13" t="inlineStr">
        <is>
          <t>YES</t>
        </is>
      </c>
    </row>
    <row r="62">
      <c r="A62" s="13" t="inlineStr">
        <is>
          <t>Delhi Rulings</t>
        </is>
      </c>
      <c r="B62" s="13" t="inlineStr">
        <is>
          <t>6</t>
        </is>
      </c>
      <c r="C62" s="13" t="inlineStr">
        <is>
          <t>58</t>
        </is>
      </c>
      <c r="D62" s="13" t="inlineStr">
        <is>
          <t>M/s Bird flight Services Pvt Ltd</t>
        </is>
      </c>
      <c r="E62" s="13" t="inlineStr">
        <is>
          <t>20.06.2025</t>
        </is>
      </c>
      <c r="F62" s="13" t="inlineStr">
        <is>
          <t>07.10.2025</t>
        </is>
      </c>
      <c r="G62" s="13" t="inlineStr">
        <is>
          <t>2025</t>
        </is>
      </c>
      <c r="H62" s="13" t="inlineStr">
        <is>
          <t>Air Conditioning Unit</t>
        </is>
      </c>
      <c r="I62" s="13" t="inlineStr">
        <is>
          <t>Classification</t>
        </is>
      </c>
      <c r="J62" s="13" t="inlineStr">
        <is>
          <t>inferred</t>
        </is>
      </c>
      <c r="K62" s="13" t="inlineStr">
        <is>
          <t>CAAR/Del/Bird Flight/72/2025</t>
        </is>
      </c>
      <c r="L62" s="14" t="inlineStr">
        <is>
          <t>https://www.cbic.gov.in/content/pdf/CONTENTREPO/CAAR/caar-del-Bird-72-09102025.pdf</t>
        </is>
      </c>
      <c r="M62" s="13" t="inlineStr">
        <is>
          <t>YES</t>
        </is>
      </c>
    </row>
    <row r="63">
      <c r="A63" s="13" t="inlineStr">
        <is>
          <t>Delhi Rulings</t>
        </is>
      </c>
      <c r="B63" s="13" t="inlineStr">
        <is>
          <t>6</t>
        </is>
      </c>
      <c r="C63" s="13" t="inlineStr">
        <is>
          <t>59</t>
        </is>
      </c>
      <c r="D63" s="13" t="inlineStr">
        <is>
          <t>M/s Shri Ganesh International</t>
        </is>
      </c>
      <c r="E63" s="13" t="inlineStr">
        <is>
          <t>05.06.2025</t>
        </is>
      </c>
      <c r="F63" s="13" t="inlineStr">
        <is>
          <t>07.10.2025</t>
        </is>
      </c>
      <c r="G63" s="13" t="inlineStr">
        <is>
          <t>2025</t>
        </is>
      </c>
      <c r="H63" s="13" t="inlineStr">
        <is>
          <t>PVC, PS and PU products</t>
        </is>
      </c>
      <c r="I63" s="13" t="inlineStr">
        <is>
          <t>Classification</t>
        </is>
      </c>
      <c r="J63" s="13" t="inlineStr">
        <is>
          <t>inferred</t>
        </is>
      </c>
      <c r="K63" s="13" t="inlineStr">
        <is>
          <t>CAAR/Del/Shri Ganesh/71/2025</t>
        </is>
      </c>
      <c r="L63" s="14" t="inlineStr">
        <is>
          <t>https://www.cbic.gov.in/content/pdf/CONTENTREPO/CAAR/caar-del-gan-71-09102025.pdf</t>
        </is>
      </c>
      <c r="M63" s="13" t="inlineStr">
        <is>
          <t>YES</t>
        </is>
      </c>
    </row>
    <row r="64">
      <c r="A64" s="13" t="inlineStr">
        <is>
          <t>Delhi Rulings</t>
        </is>
      </c>
      <c r="B64" s="13" t="inlineStr">
        <is>
          <t>6</t>
        </is>
      </c>
      <c r="C64" s="13" t="inlineStr">
        <is>
          <t>60</t>
        </is>
      </c>
      <c r="D64" s="13" t="inlineStr">
        <is>
          <t>M/s Hewlett Packard Enterprise India Pvt Ltd</t>
        </is>
      </c>
      <c r="E64" s="13" t="inlineStr">
        <is>
          <t>08.05.2025</t>
        </is>
      </c>
      <c r="F64" s="13" t="inlineStr">
        <is>
          <t>01.10.2025</t>
        </is>
      </c>
      <c r="G64" s="13" t="inlineStr">
        <is>
          <t>2025</t>
        </is>
      </c>
      <c r="H64" s="13" t="inlineStr">
        <is>
          <t>Utility interconnected photovoltaic Inverte</t>
        </is>
      </c>
      <c r="I64" s="13" t="inlineStr">
        <is>
          <t>Classification</t>
        </is>
      </c>
      <c r="J64" s="13" t="inlineStr">
        <is>
          <t>inferred</t>
        </is>
      </c>
      <c r="K64" s="13" t="inlineStr">
        <is>
          <t>CAAR/Del/Hewlett Packard/68/2025</t>
        </is>
      </c>
      <c r="L64" s="14" t="inlineStr">
        <is>
          <t>https://www.cbic.gov.in/content/pdf/CONTENTREPO/VPNcontents/CAAR/caar-del-68-09102025.pdf</t>
        </is>
      </c>
      <c r="M64" s="13" t="inlineStr">
        <is>
          <t>YES</t>
        </is>
      </c>
    </row>
    <row r="65">
      <c r="A65" s="13" t="inlineStr">
        <is>
          <t>Delhi Rulings</t>
        </is>
      </c>
      <c r="B65" s="13" t="inlineStr">
        <is>
          <t>7</t>
        </is>
      </c>
      <c r="C65" s="13" t="inlineStr">
        <is>
          <t>61</t>
        </is>
      </c>
      <c r="D65" s="13" t="inlineStr">
        <is>
          <t>M/s Uniqlo India Pvt. Ltd.</t>
        </is>
      </c>
      <c r="E65" s="13" t="inlineStr">
        <is>
          <t>13.12.2024</t>
        </is>
      </c>
      <c r="F65" s="13" t="inlineStr">
        <is>
          <t>24.07.2025</t>
        </is>
      </c>
      <c r="G65" s="13" t="inlineStr">
        <is>
          <t>2025</t>
        </is>
      </c>
      <c r="H65" s="13" t="inlineStr">
        <is>
          <t>Knitted Fleece Lounge Set</t>
        </is>
      </c>
      <c r="I65" s="13" t="inlineStr">
        <is>
          <t>Classification</t>
        </is>
      </c>
      <c r="J65" s="13" t="inlineStr">
        <is>
          <t>inferred</t>
        </is>
      </c>
      <c r="K65" s="13" t="inlineStr">
        <is>
          <t>CAAR/Del/Uniqlo/40/2025</t>
        </is>
      </c>
      <c r="L65" s="14" t="inlineStr">
        <is>
          <t>https://www.cbic.gov.in/content/pdf/CONTENTREPO/CAAR/car-del-40-09102025.pdf</t>
        </is>
      </c>
      <c r="M65" s="13" t="inlineStr">
        <is>
          <t>YES</t>
        </is>
      </c>
    </row>
    <row r="66">
      <c r="A66" s="13" t="inlineStr">
        <is>
          <t>Delhi Rulings</t>
        </is>
      </c>
      <c r="B66" s="13" t="inlineStr">
        <is>
          <t>7</t>
        </is>
      </c>
      <c r="C66" s="13" t="inlineStr">
        <is>
          <t>62</t>
        </is>
      </c>
      <c r="D66" s="13" t="inlineStr">
        <is>
          <t>M/s Samsung India Electronics Private Limited</t>
        </is>
      </c>
      <c r="E66" s="13" t="inlineStr">
        <is>
          <t>20.12.2024</t>
        </is>
      </c>
      <c r="F66" s="13" t="inlineStr">
        <is>
          <t>20.06.2025</t>
        </is>
      </c>
      <c r="G66" s="13" t="inlineStr">
        <is>
          <t>2025</t>
        </is>
      </c>
      <c r="H66" s="13" t="inlineStr">
        <is>
          <t>Stylus Pen.</t>
        </is>
      </c>
      <c r="I66" s="13" t="inlineStr">
        <is>
          <t>Classification</t>
        </is>
      </c>
      <c r="J66" s="13" t="inlineStr">
        <is>
          <t>inferred</t>
        </is>
      </c>
      <c r="K66" s="13" t="inlineStr">
        <is>
          <t>CAAR/Del/Samsung/33/2025</t>
        </is>
      </c>
      <c r="L66" s="14" t="inlineStr">
        <is>
          <t>https://www.cbic.gov.in/content/pdf/CONTENTREPO/CAAR/caar-del-samsug-33-08102025.pdf</t>
        </is>
      </c>
      <c r="M66" s="13" t="inlineStr">
        <is>
          <t>YES</t>
        </is>
      </c>
    </row>
    <row r="67">
      <c r="A67" s="13" t="inlineStr">
        <is>
          <t>Delhi Rulings</t>
        </is>
      </c>
      <c r="B67" s="13" t="inlineStr">
        <is>
          <t>7</t>
        </is>
      </c>
      <c r="C67" s="13" t="inlineStr">
        <is>
          <t>63</t>
        </is>
      </c>
      <c r="D67" s="13" t="inlineStr">
        <is>
          <t>M/s Samsung India Electronics (P) Ltd.</t>
        </is>
      </c>
      <c r="E67" s="13" t="inlineStr">
        <is>
          <t>11.07.2025</t>
        </is>
      </c>
      <c r="F67" s="13" t="inlineStr">
        <is>
          <t>01.10.2025</t>
        </is>
      </c>
      <c r="G67" s="13" t="inlineStr">
        <is>
          <t>2025</t>
        </is>
      </c>
      <c r="H67" s="13" t="inlineStr">
        <is>
          <t>Watch Bands</t>
        </is>
      </c>
      <c r="I67" s="13" t="inlineStr">
        <is>
          <t>Classification</t>
        </is>
      </c>
      <c r="J67" s="13" t="inlineStr">
        <is>
          <t>inferred</t>
        </is>
      </c>
      <c r="K67" s="13" t="inlineStr">
        <is>
          <t>CAAR/Del/Samsung India/70/2025</t>
        </is>
      </c>
      <c r="L67" s="14" t="inlineStr">
        <is>
          <t>https://www.cbic.gov.in/content/pdf/CONTENTREPO/CAAR/caar-delhi-rul-70-07102025.pdf</t>
        </is>
      </c>
      <c r="M67" s="13" t="inlineStr">
        <is>
          <t>YES</t>
        </is>
      </c>
    </row>
    <row r="68">
      <c r="A68" s="13" t="inlineStr">
        <is>
          <t>Delhi Rulings</t>
        </is>
      </c>
      <c r="B68" s="13" t="inlineStr">
        <is>
          <t>7</t>
        </is>
      </c>
      <c r="C68" s="13" t="inlineStr">
        <is>
          <t>64</t>
        </is>
      </c>
      <c r="D68" s="13" t="inlineStr">
        <is>
          <t>M/s TXD India Technology Pvt. Limited</t>
        </is>
      </c>
      <c r="E68" s="13" t="inlineStr">
        <is>
          <t>28.04.2025</t>
        </is>
      </c>
      <c r="F68" s="13" t="inlineStr">
        <is>
          <t>22.09.2025</t>
        </is>
      </c>
      <c r="G68" s="13" t="inlineStr">
        <is>
          <t>2025</t>
        </is>
      </c>
      <c r="H68" s="13" t="inlineStr">
        <is>
          <t>Display assembly of cellular mobile phones</t>
        </is>
      </c>
      <c r="I68" s="13" t="inlineStr">
        <is>
          <t>Classification</t>
        </is>
      </c>
      <c r="J68" s="13" t="inlineStr">
        <is>
          <t>inferred</t>
        </is>
      </c>
      <c r="K68" s="13" t="inlineStr">
        <is>
          <t>CAAR/Del/TXD/63/2025</t>
        </is>
      </c>
      <c r="L68" s="14" t="inlineStr">
        <is>
          <t>https://www.cbic.gov.in/content/pdf/CONTENTREPO/CAAR/caar-delhi-rul-63-07102025.pdf</t>
        </is>
      </c>
      <c r="M68" s="13" t="inlineStr">
        <is>
          <t>YES</t>
        </is>
      </c>
    </row>
    <row r="69">
      <c r="A69" s="13" t="inlineStr">
        <is>
          <t>Delhi Rulings</t>
        </is>
      </c>
      <c r="B69" s="13" t="inlineStr">
        <is>
          <t>7</t>
        </is>
      </c>
      <c r="C69" s="13" t="inlineStr">
        <is>
          <t>65</t>
        </is>
      </c>
      <c r="D69" s="13" t="inlineStr">
        <is>
          <t>M/s Samsung Display Noida Private Limited</t>
        </is>
      </c>
      <c r="E69" s="13" t="inlineStr">
        <is>
          <t>19.05.2025</t>
        </is>
      </c>
      <c r="F69" s="13" t="inlineStr">
        <is>
          <t>12.09.2025</t>
        </is>
      </c>
      <c r="G69" s="13" t="inlineStr">
        <is>
          <t>2025</t>
        </is>
      </c>
      <c r="H69" s="13" t="inlineStr">
        <is>
          <t>Whether benefit of Notification No. 24/2005 shall be available in case of import of inputs and parts</t>
        </is>
      </c>
      <c r="I69" s="13" t="inlineStr">
        <is>
          <t>Exemption</t>
        </is>
      </c>
      <c r="J69" s="13" t="inlineStr">
        <is>
          <t>explicit</t>
        </is>
      </c>
      <c r="K69" s="13" t="inlineStr">
        <is>
          <t>CAAR/Del/Samsung Display/62/2025</t>
        </is>
      </c>
      <c r="L69" s="14" t="inlineStr">
        <is>
          <t>https://www.cbic.gov.in/content/pdf/CONTENTREPO/CAAR/car-del62-22092025.pdf</t>
        </is>
      </c>
      <c r="M69" s="13" t="inlineStr">
        <is>
          <t>YES</t>
        </is>
      </c>
    </row>
    <row r="70">
      <c r="A70" s="13" t="inlineStr">
        <is>
          <t>Delhi Rulings</t>
        </is>
      </c>
      <c r="B70" s="13" t="inlineStr">
        <is>
          <t>7</t>
        </is>
      </c>
      <c r="C70" s="13" t="inlineStr">
        <is>
          <t>66</t>
        </is>
      </c>
      <c r="D70" s="13" t="inlineStr">
        <is>
          <t>M/s JSW MG Motor India Pvt. Limited</t>
        </is>
      </c>
      <c r="E70" s="13" t="inlineStr">
        <is>
          <t>27.01.2025</t>
        </is>
      </c>
      <c r="F70" s="13" t="inlineStr">
        <is>
          <t>16.09.2025</t>
        </is>
      </c>
      <c r="G70" s="13" t="inlineStr">
        <is>
          <t>2025</t>
        </is>
      </c>
      <c r="H70" s="13" t="inlineStr">
        <is>
          <t>Unassembled Kit of M9</t>
        </is>
      </c>
      <c r="I70" s="13" t="inlineStr">
        <is>
          <t>Classification</t>
        </is>
      </c>
      <c r="J70" s="13" t="inlineStr">
        <is>
          <t>inferred</t>
        </is>
      </c>
      <c r="K70" s="13" t="inlineStr">
        <is>
          <t>CAAR/Del/JSW/59-61/2025</t>
        </is>
      </c>
      <c r="L70" s="13" t="inlineStr"/>
      <c r="M70" s="13" t="inlineStr">
        <is>
          <t>NO</t>
        </is>
      </c>
    </row>
    <row r="71">
      <c r="A71" s="13" t="inlineStr">
        <is>
          <t>Delhi Rulings</t>
        </is>
      </c>
      <c r="B71" s="13" t="inlineStr">
        <is>
          <t>7</t>
        </is>
      </c>
      <c r="C71" s="13" t="inlineStr">
        <is>
          <t>67</t>
        </is>
      </c>
      <c r="D71" s="13" t="inlineStr">
        <is>
          <t>M/s Canon India Pvt. Ltd</t>
        </is>
      </c>
      <c r="E71" s="13" t="inlineStr">
        <is>
          <t>28-04-2025</t>
        </is>
      </c>
      <c r="F71" s="13" t="inlineStr">
        <is>
          <t>18-08-2025</t>
        </is>
      </c>
      <c r="G71" s="13" t="inlineStr">
        <is>
          <t>2025</t>
        </is>
      </c>
      <c r="H71" s="13" t="inlineStr">
        <is>
          <t>Import of Canon Camera Model No. K 518</t>
        </is>
      </c>
      <c r="I71" s="13" t="inlineStr">
        <is>
          <t>Classification</t>
        </is>
      </c>
      <c r="J71" s="13" t="inlineStr">
        <is>
          <t>inferred</t>
        </is>
      </c>
      <c r="K71" s="13" t="inlineStr">
        <is>
          <t>CAAR/Del/Canon/48/2025</t>
        </is>
      </c>
      <c r="L71" s="13" t="inlineStr"/>
      <c r="M71" s="13" t="inlineStr">
        <is>
          <t>NO</t>
        </is>
      </c>
    </row>
    <row r="72">
      <c r="A72" s="13" t="inlineStr">
        <is>
          <t>Delhi Rulings</t>
        </is>
      </c>
      <c r="B72" s="13" t="inlineStr">
        <is>
          <t>7</t>
        </is>
      </c>
      <c r="C72" s="13" t="inlineStr">
        <is>
          <t>68</t>
        </is>
      </c>
      <c r="D72" s="13" t="inlineStr">
        <is>
          <t>M/s Veesan International Trading Private Limited</t>
        </is>
      </c>
      <c r="E72" s="13" t="inlineStr">
        <is>
          <t>04-06-2025</t>
        </is>
      </c>
      <c r="F72" s="13" t="inlineStr">
        <is>
          <t>11-08-2025</t>
        </is>
      </c>
      <c r="G72" s="13" t="inlineStr">
        <is>
          <t>2025</t>
        </is>
      </c>
      <c r="H72" s="13" t="inlineStr">
        <is>
          <t>Import of “Flavoured Supari’</t>
        </is>
      </c>
      <c r="I72" s="13" t="inlineStr">
        <is>
          <t>Classification</t>
        </is>
      </c>
      <c r="J72" s="13" t="inlineStr">
        <is>
          <t>inferred</t>
        </is>
      </c>
      <c r="K72" s="13" t="inlineStr">
        <is>
          <t>CAAR/Del/Veesan/46/2025</t>
        </is>
      </c>
      <c r="L72" s="14" t="inlineStr">
        <is>
          <t>https://www.cbic.gov.in/content/pdf/CONTENTREPO/VPNcontents/CAAR/caar-del-46-19082025.pdf</t>
        </is>
      </c>
      <c r="M72" s="13" t="inlineStr">
        <is>
          <t>YES</t>
        </is>
      </c>
    </row>
    <row r="73">
      <c r="A73" s="13" t="inlineStr">
        <is>
          <t>Delhi Rulings</t>
        </is>
      </c>
      <c r="B73" s="13" t="inlineStr">
        <is>
          <t>7</t>
        </is>
      </c>
      <c r="C73" s="13" t="inlineStr">
        <is>
          <t>69</t>
        </is>
      </c>
      <c r="D73" s="13" t="inlineStr">
        <is>
          <t>M/s Gauma Apparels Internatio (OPC) Pvt Ltd</t>
        </is>
      </c>
      <c r="E73" s="13" t="inlineStr">
        <is>
          <t>05-06-2025</t>
        </is>
      </c>
      <c r="F73" s="13" t="inlineStr">
        <is>
          <t>11-08-2025</t>
        </is>
      </c>
      <c r="G73" s="13" t="inlineStr">
        <is>
          <t>2025</t>
        </is>
      </c>
      <c r="H73" s="13" t="inlineStr">
        <is>
          <t>Import of “Flavoured Supari’</t>
        </is>
      </c>
      <c r="I73" s="13" t="inlineStr">
        <is>
          <t>Classification</t>
        </is>
      </c>
      <c r="J73" s="13" t="inlineStr">
        <is>
          <t>inferred</t>
        </is>
      </c>
      <c r="K73" s="13" t="inlineStr">
        <is>
          <t>CAAR/Del/Gauma/45/2025</t>
        </is>
      </c>
      <c r="L73" s="14" t="inlineStr">
        <is>
          <t>https://www.cbic.gov.in/content/pdf/CONTENTREPO/VPNcontents/CAAR/caar-del--45-19082025.pdf</t>
        </is>
      </c>
      <c r="M73" s="13" t="inlineStr">
        <is>
          <t>YES</t>
        </is>
      </c>
    </row>
    <row r="74">
      <c r="A74" s="13" t="inlineStr">
        <is>
          <t>Delhi Rulings</t>
        </is>
      </c>
      <c r="B74" s="13" t="inlineStr">
        <is>
          <t>7</t>
        </is>
      </c>
      <c r="C74" s="13" t="inlineStr">
        <is>
          <t>70</t>
        </is>
      </c>
      <c r="D74" s="13" t="inlineStr">
        <is>
          <t>M/s Le Mei Plastic Manufacturing Private Limited</t>
        </is>
      </c>
      <c r="E74" s="13" t="inlineStr">
        <is>
          <t>05-03-2025</t>
        </is>
      </c>
      <c r="F74" s="13" t="inlineStr">
        <is>
          <t>06-08-2025</t>
        </is>
      </c>
      <c r="G74" s="13" t="inlineStr">
        <is>
          <t>2025</t>
        </is>
      </c>
      <c r="H74" s="13" t="inlineStr">
        <is>
          <t>Import of "Aluminum plates, Magnesium alloy sheet, Heat Dissipating films, Silicon pads, Conductive</t>
        </is>
      </c>
      <c r="I74" s="13" t="inlineStr">
        <is>
          <t>Classification</t>
        </is>
      </c>
      <c r="J74" s="13" t="inlineStr">
        <is>
          <t>inferred</t>
        </is>
      </c>
      <c r="K74" s="13" t="inlineStr">
        <is>
          <t>CAAR/Del/Le Mei/44/2025</t>
        </is>
      </c>
      <c r="L74" s="14" t="inlineStr">
        <is>
          <t>https://www.cbic.gov.in/content/pdf/CONTENTREPO/CAAR/car-del-44-08082025.pdf</t>
        </is>
      </c>
      <c r="M74" s="13" t="inlineStr">
        <is>
          <t>YES</t>
        </is>
      </c>
    </row>
    <row r="75">
      <c r="A75" s="13" t="inlineStr">
        <is>
          <t>Delhi Rulings</t>
        </is>
      </c>
      <c r="B75" s="13" t="inlineStr">
        <is>
          <t>8</t>
        </is>
      </c>
      <c r="C75" s="13" t="inlineStr">
        <is>
          <t>71</t>
        </is>
      </c>
      <c r="D75" s="13" t="inlineStr">
        <is>
          <t>M/s Mitsubishi Electric Automotive India Private Limited</t>
        </is>
      </c>
      <c r="E75" s="13" t="inlineStr">
        <is>
          <t>05.03.2025</t>
        </is>
      </c>
      <c r="F75" s="13" t="inlineStr">
        <is>
          <t>30.07.2025</t>
        </is>
      </c>
      <c r="G75" s="13" t="inlineStr">
        <is>
          <t>2025</t>
        </is>
      </c>
      <c r="H75" s="13" t="inlineStr">
        <is>
          <t>Import of Inverter Assembly Units</t>
        </is>
      </c>
      <c r="I75" s="13" t="inlineStr">
        <is>
          <t>Classification</t>
        </is>
      </c>
      <c r="J75" s="13" t="inlineStr">
        <is>
          <t>inferred</t>
        </is>
      </c>
      <c r="K75" s="13" t="inlineStr">
        <is>
          <t>CAAR/Del/Mitsubishi/43/2025</t>
        </is>
      </c>
      <c r="L75" s="14" t="inlineStr">
        <is>
          <t>https://www.cbic.gov.in/content/pdf/CONTENTREPO/CAAR/car-del-43-06082025.pdf</t>
        </is>
      </c>
      <c r="M75" s="13" t="inlineStr">
        <is>
          <t>YES</t>
        </is>
      </c>
    </row>
    <row r="76">
      <c r="A76" s="13" t="inlineStr">
        <is>
          <t>Delhi Rulings</t>
        </is>
      </c>
      <c r="B76" s="13" t="inlineStr">
        <is>
          <t>8</t>
        </is>
      </c>
      <c r="C76" s="13" t="inlineStr">
        <is>
          <t>72</t>
        </is>
      </c>
      <c r="D76" s="13" t="inlineStr">
        <is>
          <t>M/s Amazon Wholesale India Private Limited</t>
        </is>
      </c>
      <c r="E76" s="13" t="inlineStr">
        <is>
          <t>11-04-2025</t>
        </is>
      </c>
      <c r="F76" s="13" t="inlineStr">
        <is>
          <t>28-07-2025</t>
        </is>
      </c>
      <c r="G76" s="13" t="inlineStr">
        <is>
          <t>2025</t>
        </is>
      </c>
      <c r="H76" s="13" t="inlineStr">
        <is>
          <t>Import of ‘Electronic Display Device’ (E-Reader) (Kindle Colorsoft), Model No. SA58CB</t>
        </is>
      </c>
      <c r="I76" s="13" t="inlineStr">
        <is>
          <t>Classification</t>
        </is>
      </c>
      <c r="J76" s="13" t="inlineStr">
        <is>
          <t>inferred</t>
        </is>
      </c>
      <c r="K76" s="13" t="inlineStr">
        <is>
          <t>CAAR/Del/Amazon/42/2025</t>
        </is>
      </c>
      <c r="L76" s="13" t="inlineStr"/>
      <c r="M76" s="13" t="inlineStr">
        <is>
          <t>NO</t>
        </is>
      </c>
    </row>
    <row r="77">
      <c r="A77" s="13" t="inlineStr">
        <is>
          <t>Delhi Rulings</t>
        </is>
      </c>
      <c r="B77" s="13" t="inlineStr">
        <is>
          <t>8</t>
        </is>
      </c>
      <c r="C77" s="13" t="inlineStr">
        <is>
          <t>73</t>
        </is>
      </c>
      <c r="D77" s="13" t="inlineStr">
        <is>
          <t>M/s Sun Max Solar Pvt Ltd</t>
        </is>
      </c>
      <c r="E77" s="13" t="inlineStr">
        <is>
          <t>21.11.2024</t>
        </is>
      </c>
      <c r="F77" s="13" t="inlineStr">
        <is>
          <t>24.07.2025</t>
        </is>
      </c>
      <c r="G77" s="13" t="inlineStr">
        <is>
          <t>2025</t>
        </is>
      </c>
      <c r="H77" s="13" t="inlineStr">
        <is>
          <t>Utility interconnected photovoltaic Inverte</t>
        </is>
      </c>
      <c r="I77" s="13" t="inlineStr">
        <is>
          <t>Classification</t>
        </is>
      </c>
      <c r="J77" s="13" t="inlineStr">
        <is>
          <t>inferred</t>
        </is>
      </c>
      <c r="K77" s="13" t="inlineStr">
        <is>
          <t>CAAR/Del/Sunmax/41/2025</t>
        </is>
      </c>
      <c r="L77" s="14" t="inlineStr">
        <is>
          <t>https://www.cbic.gov.in/content/pdf/CONTENTREPO/VPNcontents/CAAR/caar-del-41-25092025.pdf</t>
        </is>
      </c>
      <c r="M77" s="13" t="inlineStr">
        <is>
          <t>YES</t>
        </is>
      </c>
    </row>
    <row r="78">
      <c r="A78" s="13" t="inlineStr">
        <is>
          <t>Delhi Rulings</t>
        </is>
      </c>
      <c r="B78" s="13" t="inlineStr">
        <is>
          <t>8</t>
        </is>
      </c>
      <c r="C78" s="13" t="inlineStr">
        <is>
          <t>74</t>
        </is>
      </c>
      <c r="D78" s="13" t="inlineStr">
        <is>
          <t>M/s Amazon Wholesale India Private Limited</t>
        </is>
      </c>
      <c r="E78" s="13" t="inlineStr">
        <is>
          <t>12.03.2025</t>
        </is>
      </c>
      <c r="F78" s="13" t="inlineStr">
        <is>
          <t>20.06.2025</t>
        </is>
      </c>
      <c r="G78" s="13" t="inlineStr">
        <is>
          <t>2025</t>
        </is>
      </c>
      <c r="H78" s="13" t="inlineStr">
        <is>
          <t>Import of "4K Streaming Media Player [Model No. CL32P4] (Fire TV Stick 4K Select)" with Alexa voice</t>
        </is>
      </c>
      <c r="I78" s="13" t="inlineStr">
        <is>
          <t>Classification</t>
        </is>
      </c>
      <c r="J78" s="13" t="inlineStr">
        <is>
          <t>inferred</t>
        </is>
      </c>
      <c r="K78" s="13" t="inlineStr">
        <is>
          <t>CAAR/Del/Amazon/35/2025</t>
        </is>
      </c>
      <c r="L78" s="13" t="inlineStr"/>
      <c r="M78" s="13" t="inlineStr">
        <is>
          <t>NO</t>
        </is>
      </c>
    </row>
    <row r="79">
      <c r="A79" s="13" t="inlineStr">
        <is>
          <t>Delhi Rulings</t>
        </is>
      </c>
      <c r="B79" s="13" t="inlineStr">
        <is>
          <t>8</t>
        </is>
      </c>
      <c r="C79" s="13" t="inlineStr">
        <is>
          <t>75</t>
        </is>
      </c>
      <c r="D79" s="13" t="inlineStr">
        <is>
          <t>M/s Amazon Wholesale India Private Limited</t>
        </is>
      </c>
      <c r="E79" s="13" t="inlineStr">
        <is>
          <t>12.03.2025</t>
        </is>
      </c>
      <c r="F79" s="13" t="inlineStr">
        <is>
          <t>20.06.2025</t>
        </is>
      </c>
      <c r="G79" s="13" t="inlineStr">
        <is>
          <t>2025</t>
        </is>
      </c>
      <c r="H79" s="13" t="inlineStr">
        <is>
          <t>Import of "4K Streaming Media Player [Model No. CL32P4] (Fire TV Stick 4K Select)" with Alexa voice</t>
        </is>
      </c>
      <c r="I79" s="13" t="inlineStr">
        <is>
          <t>Classification</t>
        </is>
      </c>
      <c r="J79" s="13" t="inlineStr">
        <is>
          <t>inferred</t>
        </is>
      </c>
      <c r="K79" s="13" t="inlineStr">
        <is>
          <t>CAAR/Del/Amazon/35/2025</t>
        </is>
      </c>
      <c r="L79" s="13" t="inlineStr"/>
      <c r="M79" s="13" t="inlineStr">
        <is>
          <t>NO</t>
        </is>
      </c>
    </row>
    <row r="80">
      <c r="A80" s="13" t="inlineStr">
        <is>
          <t>Delhi Rulings</t>
        </is>
      </c>
      <c r="B80" s="13" t="inlineStr">
        <is>
          <t>8</t>
        </is>
      </c>
      <c r="C80" s="13" t="inlineStr">
        <is>
          <t>76</t>
        </is>
      </c>
      <c r="D80" s="13" t="inlineStr">
        <is>
          <t>M/s Amazon Wholesale India Private Limited</t>
        </is>
      </c>
      <c r="E80" s="13" t="inlineStr">
        <is>
          <t>13.12.2024</t>
        </is>
      </c>
      <c r="F80" s="13" t="inlineStr">
        <is>
          <t>20.06.2025</t>
        </is>
      </c>
      <c r="G80" s="13" t="inlineStr">
        <is>
          <t>2025</t>
        </is>
      </c>
      <c r="H80" s="13" t="inlineStr">
        <is>
          <t>EchoShow 5(3rd Generation), Model No. H97N6S</t>
        </is>
      </c>
      <c r="I80" s="13" t="inlineStr">
        <is>
          <t>Classification</t>
        </is>
      </c>
      <c r="J80" s="13" t="inlineStr">
        <is>
          <t>inferred</t>
        </is>
      </c>
      <c r="K80" s="13" t="inlineStr">
        <is>
          <t>CAAR/Del/Amazon/34/2025</t>
        </is>
      </c>
      <c r="L80" s="13" t="inlineStr"/>
      <c r="M80" s="13" t="inlineStr">
        <is>
          <t>NO</t>
        </is>
      </c>
    </row>
    <row r="81">
      <c r="A81" s="13" t="inlineStr">
        <is>
          <t>Delhi Rulings</t>
        </is>
      </c>
      <c r="B81" s="13" t="inlineStr">
        <is>
          <t>8</t>
        </is>
      </c>
      <c r="C81" s="13" t="inlineStr">
        <is>
          <t>77</t>
        </is>
      </c>
      <c r="D81" s="13" t="inlineStr">
        <is>
          <t>M/s Amazon Wholesale India Private Limited</t>
        </is>
      </c>
      <c r="E81" s="13" t="inlineStr">
        <is>
          <t>13.12.2024</t>
        </is>
      </c>
      <c r="F81" s="13" t="inlineStr">
        <is>
          <t>20.06.2025</t>
        </is>
      </c>
      <c r="G81" s="13" t="inlineStr">
        <is>
          <t>2025</t>
        </is>
      </c>
      <c r="H81" s="13" t="inlineStr">
        <is>
          <t>EchoShow 5(3rd Generation), Model No. H97N6S</t>
        </is>
      </c>
      <c r="I81" s="13" t="inlineStr">
        <is>
          <t>Classification</t>
        </is>
      </c>
      <c r="J81" s="13" t="inlineStr">
        <is>
          <t>inferred</t>
        </is>
      </c>
      <c r="K81" s="13" t="inlineStr">
        <is>
          <t>CAAR/Del/Amazon/34/2025</t>
        </is>
      </c>
      <c r="L81" s="13" t="inlineStr"/>
      <c r="M81" s="13" t="inlineStr">
        <is>
          <t>NO</t>
        </is>
      </c>
    </row>
    <row r="82">
      <c r="A82" s="13" t="inlineStr">
        <is>
          <t>Delhi Rulings</t>
        </is>
      </c>
      <c r="B82" s="13" t="inlineStr">
        <is>
          <t>8</t>
        </is>
      </c>
      <c r="C82" s="13" t="inlineStr">
        <is>
          <t>78</t>
        </is>
      </c>
      <c r="D82" s="13" t="inlineStr">
        <is>
          <t>M/s Amazon Wholesale India Private Limited</t>
        </is>
      </c>
      <c r="E82" s="13" t="inlineStr">
        <is>
          <t>16.12.2024</t>
        </is>
      </c>
      <c r="F82" s="13" t="inlineStr">
        <is>
          <t>20.06.2025</t>
        </is>
      </c>
      <c r="G82" s="13" t="inlineStr">
        <is>
          <t>2025</t>
        </is>
      </c>
      <c r="H82" s="13" t="inlineStr">
        <is>
          <t>Alexa Voice remote, Model No. PA38CA</t>
        </is>
      </c>
      <c r="I82" s="13" t="inlineStr">
        <is>
          <t>Classification</t>
        </is>
      </c>
      <c r="J82" s="13" t="inlineStr">
        <is>
          <t>inferred</t>
        </is>
      </c>
      <c r="K82" s="13" t="inlineStr">
        <is>
          <t>CAAR/Del/Amazon/32/2025</t>
        </is>
      </c>
      <c r="L82" s="13" t="inlineStr"/>
      <c r="M82" s="13" t="inlineStr">
        <is>
          <t>NO</t>
        </is>
      </c>
    </row>
    <row r="83">
      <c r="A83" s="13" t="inlineStr">
        <is>
          <t>Delhi Rulings</t>
        </is>
      </c>
      <c r="B83" s="13" t="inlineStr">
        <is>
          <t>8</t>
        </is>
      </c>
      <c r="C83" s="13" t="inlineStr">
        <is>
          <t>79</t>
        </is>
      </c>
      <c r="D83" s="13" t="inlineStr">
        <is>
          <t>M/s Aptiv Component India Private Limited</t>
        </is>
      </c>
      <c r="E83" s="13" t="inlineStr">
        <is>
          <t>22.01.2025</t>
        </is>
      </c>
      <c r="F83" s="13" t="inlineStr">
        <is>
          <t>04.06.2025</t>
        </is>
      </c>
      <c r="G83" s="13" t="inlineStr">
        <is>
          <t>2025</t>
        </is>
      </c>
      <c r="H83" s="13" t="inlineStr">
        <is>
          <t>Import of Electromagnetic Interference Filter</t>
        </is>
      </c>
      <c r="I83" s="13" t="inlineStr">
        <is>
          <t>Classification</t>
        </is>
      </c>
      <c r="J83" s="13" t="inlineStr">
        <is>
          <t>inferred</t>
        </is>
      </c>
      <c r="K83" s="13" t="inlineStr">
        <is>
          <t>CAAR/Del/Aptiv/31/2025</t>
        </is>
      </c>
      <c r="L83" s="13" t="inlineStr"/>
      <c r="M83" s="13" t="inlineStr">
        <is>
          <t>NO</t>
        </is>
      </c>
    </row>
    <row r="84">
      <c r="A84" s="13" t="inlineStr">
        <is>
          <t>Delhi Rulings</t>
        </is>
      </c>
      <c r="B84" s="13" t="inlineStr">
        <is>
          <t>8</t>
        </is>
      </c>
      <c r="C84" s="13" t="inlineStr">
        <is>
          <t>80</t>
        </is>
      </c>
      <c r="D84" s="13" t="inlineStr">
        <is>
          <t>M/s Wabtec Locomotive Private Limited</t>
        </is>
      </c>
      <c r="E84" s="13" t="inlineStr">
        <is>
          <t>06.02.2025</t>
        </is>
      </c>
      <c r="F84" s="13" t="inlineStr">
        <is>
          <t>04.06.2025</t>
        </is>
      </c>
      <c r="G84" s="13" t="inlineStr">
        <is>
          <t>2025</t>
        </is>
      </c>
      <c r="H84" s="13" t="inlineStr">
        <is>
          <t>Import of raw materials for manufacturing of locomotives</t>
        </is>
      </c>
      <c r="I84" s="13" t="inlineStr">
        <is>
          <t>Classification</t>
        </is>
      </c>
      <c r="J84" s="13" t="inlineStr">
        <is>
          <t>inferred</t>
        </is>
      </c>
      <c r="K84" s="13" t="inlineStr">
        <is>
          <t>CAAR/Del/Wabtec/30/2025</t>
        </is>
      </c>
      <c r="L84" s="14" t="inlineStr">
        <is>
          <t>https://www.cbic.gov.in/content/pdf/CONTENTREPO/CAAR/del-webtec-11062025.pdf</t>
        </is>
      </c>
      <c r="M84" s="13" t="inlineStr">
        <is>
          <t>YES</t>
        </is>
      </c>
    </row>
    <row r="85">
      <c r="A85" s="13" t="inlineStr">
        <is>
          <t>Delhi Rulings</t>
        </is>
      </c>
      <c r="B85" s="13" t="inlineStr">
        <is>
          <t>9</t>
        </is>
      </c>
      <c r="C85" s="13" t="inlineStr">
        <is>
          <t>81</t>
        </is>
      </c>
      <c r="D85" s="13" t="inlineStr">
        <is>
          <t>M/s Vivo Mobile India Pvt. Ltd</t>
        </is>
      </c>
      <c r="E85" s="13" t="inlineStr">
        <is>
          <t>26.11.2024</t>
        </is>
      </c>
      <c r="F85" s="13" t="inlineStr">
        <is>
          <t>20.05.2025</t>
        </is>
      </c>
      <c r="G85" s="13" t="inlineStr">
        <is>
          <t>2025</t>
        </is>
      </c>
      <c r="H85" s="13" t="inlineStr">
        <is>
          <t>Import of FPC board</t>
        </is>
      </c>
      <c r="I85" s="13" t="inlineStr">
        <is>
          <t>Classification</t>
        </is>
      </c>
      <c r="J85" s="13" t="inlineStr">
        <is>
          <t>inferred</t>
        </is>
      </c>
      <c r="K85" s="13" t="inlineStr">
        <is>
          <t>CAAR/Del/Vivo Mobile/29/2025</t>
        </is>
      </c>
      <c r="L85" s="14" t="inlineStr">
        <is>
          <t>https://www.cbic.gov.in/content/pdf/CONTENTREPO/CAAR/del-vivo-11062025.pdf</t>
        </is>
      </c>
      <c r="M85" s="13" t="inlineStr">
        <is>
          <t>YES</t>
        </is>
      </c>
    </row>
    <row r="86">
      <c r="A86" s="13" t="inlineStr">
        <is>
          <t>Delhi Rulings</t>
        </is>
      </c>
      <c r="B86" s="13" t="inlineStr">
        <is>
          <t>9</t>
        </is>
      </c>
      <c r="C86" s="13" t="inlineStr">
        <is>
          <t>82</t>
        </is>
      </c>
      <c r="D86" s="13" t="inlineStr">
        <is>
          <t>M/s Canon India Pvt Ltd</t>
        </is>
      </c>
      <c r="E86" s="13" t="inlineStr">
        <is>
          <t>27.11.2024</t>
        </is>
      </c>
      <c r="F86" s="13" t="inlineStr">
        <is>
          <t>20.05.2025</t>
        </is>
      </c>
      <c r="G86" s="13" t="inlineStr">
        <is>
          <t>2025</t>
        </is>
      </c>
      <c r="H86" s="13" t="inlineStr">
        <is>
          <t>Import of Canon Caera Model NO. K 516 (DS126941)</t>
        </is>
      </c>
      <c r="I86" s="13" t="inlineStr">
        <is>
          <t>Classification</t>
        </is>
      </c>
      <c r="J86" s="13" t="inlineStr">
        <is>
          <t>inferred</t>
        </is>
      </c>
      <c r="K86" s="13" t="inlineStr">
        <is>
          <t>CAAR/Del/Canon/28/2025</t>
        </is>
      </c>
      <c r="L86" s="13" t="inlineStr"/>
      <c r="M86" s="13" t="inlineStr">
        <is>
          <t>NO</t>
        </is>
      </c>
    </row>
    <row r="87">
      <c r="A87" s="13" t="inlineStr">
        <is>
          <t>Delhi Rulings</t>
        </is>
      </c>
      <c r="B87" s="13" t="inlineStr">
        <is>
          <t>9</t>
        </is>
      </c>
      <c r="C87" s="13" t="inlineStr">
        <is>
          <t>83</t>
        </is>
      </c>
      <c r="D87" s="13" t="inlineStr">
        <is>
          <t>M/s Aptiv Component India Private limited</t>
        </is>
      </c>
      <c r="E87" s="13" t="inlineStr">
        <is>
          <t>22.01.2025</t>
        </is>
      </c>
      <c r="F87" s="13" t="inlineStr">
        <is>
          <t>07.05.2025</t>
        </is>
      </c>
      <c r="G87" s="13" t="inlineStr">
        <is>
          <t>2025</t>
        </is>
      </c>
      <c r="H87" s="13" t="inlineStr">
        <is>
          <t>Chock Coils</t>
        </is>
      </c>
      <c r="I87" s="13" t="inlineStr">
        <is>
          <t>Classification</t>
        </is>
      </c>
      <c r="J87" s="13" t="inlineStr">
        <is>
          <t>inferred</t>
        </is>
      </c>
      <c r="K87" s="13" t="inlineStr">
        <is>
          <t>CAAR/Del/Aptiv/27/2025</t>
        </is>
      </c>
      <c r="L87" s="14" t="inlineStr">
        <is>
          <t>https://www.cbic.gov.in/content/pdf/CONTENTREPO/CAAR/caar-del-aptiv-27-14052025.pdf</t>
        </is>
      </c>
      <c r="M87" s="13" t="inlineStr">
        <is>
          <t>YES</t>
        </is>
      </c>
    </row>
    <row r="88">
      <c r="A88" s="13" t="inlineStr">
        <is>
          <t>Delhi Rulings</t>
        </is>
      </c>
      <c r="B88" s="13" t="inlineStr">
        <is>
          <t>9</t>
        </is>
      </c>
      <c r="C88" s="13" t="inlineStr">
        <is>
          <t>84</t>
        </is>
      </c>
      <c r="D88" s="13" t="inlineStr">
        <is>
          <t>M/s Aptiv Component India Private limited</t>
        </is>
      </c>
      <c r="E88" s="13" t="inlineStr">
        <is>
          <t>22.01.2025</t>
        </is>
      </c>
      <c r="F88" s="13" t="inlineStr">
        <is>
          <t>07.05.2025</t>
        </is>
      </c>
      <c r="G88" s="13" t="inlineStr">
        <is>
          <t>2025</t>
        </is>
      </c>
      <c r="H88" s="13" t="inlineStr">
        <is>
          <t>Ferrite Beads</t>
        </is>
      </c>
      <c r="I88" s="13" t="inlineStr">
        <is>
          <t>Classification</t>
        </is>
      </c>
      <c r="J88" s="13" t="inlineStr">
        <is>
          <t>inferred</t>
        </is>
      </c>
      <c r="K88" s="13" t="inlineStr">
        <is>
          <t>CAAR/Del/Aptiv/26/2025</t>
        </is>
      </c>
      <c r="L88" s="14" t="inlineStr">
        <is>
          <t>https://www.cbic.gov.in/content/pdf/CONTENTREPO/CAAR/caar-del-aptiv-26-14052025.pdf</t>
        </is>
      </c>
      <c r="M88" s="13" t="inlineStr">
        <is>
          <t>YES</t>
        </is>
      </c>
    </row>
    <row r="89">
      <c r="A89" s="13" t="inlineStr">
        <is>
          <t>Delhi Rulings</t>
        </is>
      </c>
      <c r="B89" s="13" t="inlineStr">
        <is>
          <t>9</t>
        </is>
      </c>
      <c r="C89" s="13" t="inlineStr">
        <is>
          <t>85</t>
        </is>
      </c>
      <c r="D89" s="13" t="inlineStr">
        <is>
          <t>M/s Star Enterprises</t>
        </is>
      </c>
      <c r="E89" s="13" t="inlineStr">
        <is>
          <t>16-12-2024</t>
        </is>
      </c>
      <c r="F89" s="13" t="inlineStr">
        <is>
          <t>18-02-2025</t>
        </is>
      </c>
      <c r="G89" s="13" t="inlineStr">
        <is>
          <t>2025</t>
        </is>
      </c>
      <c r="H89" s="13" t="inlineStr">
        <is>
          <t>Provisional Preserved Areca nut (Whole) and Provisional Preserved Areca Nut (Split)</t>
        </is>
      </c>
      <c r="I89" s="13" t="inlineStr">
        <is>
          <t>Classification</t>
        </is>
      </c>
      <c r="J89" s="13" t="inlineStr">
        <is>
          <t>inferred</t>
        </is>
      </c>
      <c r="K89" s="13" t="inlineStr">
        <is>
          <t>CAAR/Del/Star/25/2025</t>
        </is>
      </c>
      <c r="L89" s="14" t="inlineStr">
        <is>
          <t>https://www.cbic.gov.in/content/pdf/CONTENTREPO/CAAR/caar-del-star-25-21022025.pdf</t>
        </is>
      </c>
      <c r="M89" s="13" t="inlineStr">
        <is>
          <t>YES</t>
        </is>
      </c>
    </row>
    <row r="90">
      <c r="A90" s="13" t="inlineStr">
        <is>
          <t>Delhi Rulings</t>
        </is>
      </c>
      <c r="B90" s="13" t="inlineStr">
        <is>
          <t>9</t>
        </is>
      </c>
      <c r="C90" s="13" t="inlineStr">
        <is>
          <t>86</t>
        </is>
      </c>
      <c r="D90" s="13" t="inlineStr">
        <is>
          <t>M/s Star Enterprises</t>
        </is>
      </c>
      <c r="E90" s="13" t="inlineStr">
        <is>
          <t>16-12-2024</t>
        </is>
      </c>
      <c r="F90" s="13" t="inlineStr">
        <is>
          <t>18-02-2025</t>
        </is>
      </c>
      <c r="G90" s="13" t="inlineStr">
        <is>
          <t>2025</t>
        </is>
      </c>
      <c r="H90" s="13" t="inlineStr">
        <is>
          <t>Provisional Preserved Areca nut (Whole) and Provisional Preserved Areca Nut (Split)</t>
        </is>
      </c>
      <c r="I90" s="13" t="inlineStr">
        <is>
          <t>Classification</t>
        </is>
      </c>
      <c r="J90" s="13" t="inlineStr">
        <is>
          <t>inferred</t>
        </is>
      </c>
      <c r="K90" s="13" t="inlineStr">
        <is>
          <t>CAAR/Del/Star/24/2025</t>
        </is>
      </c>
      <c r="L90" s="14" t="inlineStr">
        <is>
          <t>https://www.cbic.gov.in/content/pdf/CONTENTREPO/CAAR/caar-del-star-24-21022025.pdf</t>
        </is>
      </c>
      <c r="M90" s="13" t="inlineStr">
        <is>
          <t>YES</t>
        </is>
      </c>
    </row>
    <row r="91">
      <c r="A91" s="13" t="inlineStr">
        <is>
          <t>Delhi Rulings</t>
        </is>
      </c>
      <c r="B91" s="13" t="inlineStr">
        <is>
          <t>9</t>
        </is>
      </c>
      <c r="C91" s="13" t="inlineStr">
        <is>
          <t>87</t>
        </is>
      </c>
      <c r="D91" s="13" t="inlineStr">
        <is>
          <t>M/s Star Enterprises</t>
        </is>
      </c>
      <c r="E91" s="13" t="inlineStr">
        <is>
          <t>16-12-2024</t>
        </is>
      </c>
      <c r="F91" s="13" t="inlineStr">
        <is>
          <t>18-02-2025</t>
        </is>
      </c>
      <c r="G91" s="13" t="inlineStr">
        <is>
          <t>2025</t>
        </is>
      </c>
      <c r="H91" s="13" t="inlineStr">
        <is>
          <t>Provisional Preserved Areca nut (Whole) and Provisional Preserved Areca Nut (Split)</t>
        </is>
      </c>
      <c r="I91" s="13" t="inlineStr">
        <is>
          <t>Classification</t>
        </is>
      </c>
      <c r="J91" s="13" t="inlineStr">
        <is>
          <t>inferred</t>
        </is>
      </c>
      <c r="K91" s="13" t="inlineStr">
        <is>
          <t>CAAR/Del/Star/23/2025</t>
        </is>
      </c>
      <c r="L91" s="14" t="inlineStr">
        <is>
          <t>https://www.cbic.gov.in/content/pdf/CONTENTREPO/CAAR/caar-del-star-23-21022025.pdf</t>
        </is>
      </c>
      <c r="M91" s="13" t="inlineStr">
        <is>
          <t>YES</t>
        </is>
      </c>
    </row>
    <row r="92">
      <c r="A92" s="13" t="inlineStr">
        <is>
          <t>Delhi Rulings</t>
        </is>
      </c>
      <c r="B92" s="13" t="inlineStr">
        <is>
          <t>9</t>
        </is>
      </c>
      <c r="C92" s="13" t="inlineStr">
        <is>
          <t>88</t>
        </is>
      </c>
      <c r="D92" s="13" t="inlineStr">
        <is>
          <t>M/s Akam Impex</t>
        </is>
      </c>
      <c r="E92" s="13" t="inlineStr">
        <is>
          <t>13.12.2024</t>
        </is>
      </c>
      <c r="F92" s="13" t="inlineStr">
        <is>
          <t>18.02.2025</t>
        </is>
      </c>
      <c r="G92" s="13" t="inlineStr">
        <is>
          <t>2025</t>
        </is>
      </c>
      <c r="H92" s="13" t="inlineStr">
        <is>
          <t>Provisional Preserved Areca nut (Whole) and Provisional Preserved Areca Nut (Split)</t>
        </is>
      </c>
      <c r="I92" s="13" t="inlineStr">
        <is>
          <t>Classification</t>
        </is>
      </c>
      <c r="J92" s="13" t="inlineStr">
        <is>
          <t>inferred</t>
        </is>
      </c>
      <c r="K92" s="13" t="inlineStr">
        <is>
          <t>CAAR/Del/AKAM/22/2025</t>
        </is>
      </c>
      <c r="L92" s="14" t="inlineStr">
        <is>
          <t>https://www.cbic.gov.in/content/pdf/CONTENTREPO/CAAR/caar-delhi-rul-22-21022025.pdf</t>
        </is>
      </c>
      <c r="M92" s="13" t="inlineStr">
        <is>
          <t>YES</t>
        </is>
      </c>
    </row>
    <row r="93">
      <c r="A93" s="13" t="inlineStr">
        <is>
          <t>Delhi Rulings</t>
        </is>
      </c>
      <c r="B93" s="13" t="inlineStr">
        <is>
          <t>9</t>
        </is>
      </c>
      <c r="C93" s="13" t="inlineStr">
        <is>
          <t>89</t>
        </is>
      </c>
      <c r="D93" s="13" t="inlineStr">
        <is>
          <t>M/s Akam Impex</t>
        </is>
      </c>
      <c r="E93" s="13" t="inlineStr">
        <is>
          <t>13.12.2024</t>
        </is>
      </c>
      <c r="F93" s="13" t="inlineStr">
        <is>
          <t>18.02.2025</t>
        </is>
      </c>
      <c r="G93" s="13" t="inlineStr">
        <is>
          <t>2025</t>
        </is>
      </c>
      <c r="H93" s="13" t="inlineStr">
        <is>
          <t>Provisional Preserved Areca nut (Whole) and Provisional Preserved Areca Nut (Split)</t>
        </is>
      </c>
      <c r="I93" s="13" t="inlineStr">
        <is>
          <t>Classification</t>
        </is>
      </c>
      <c r="J93" s="13" t="inlineStr">
        <is>
          <t>inferred</t>
        </is>
      </c>
      <c r="K93" s="13" t="inlineStr">
        <is>
          <t>CAAR/Del/AKAM/21/2025</t>
        </is>
      </c>
      <c r="L93" s="14" t="inlineStr">
        <is>
          <t>https://www.cbic.gov.in/content/pdf/CONTENTREPO/CAAR/caar-delhi-rul-21-21022025.pdf</t>
        </is>
      </c>
      <c r="M93" s="13" t="inlineStr">
        <is>
          <t>YES</t>
        </is>
      </c>
    </row>
    <row r="94">
      <c r="A94" s="13" t="inlineStr">
        <is>
          <t>Delhi Rulings</t>
        </is>
      </c>
      <c r="B94" s="13" t="inlineStr">
        <is>
          <t>9</t>
        </is>
      </c>
      <c r="C94" s="13" t="inlineStr">
        <is>
          <t>90</t>
        </is>
      </c>
      <c r="D94" s="13" t="inlineStr">
        <is>
          <t>M/s Perfect Trading Co.</t>
        </is>
      </c>
      <c r="E94" s="13" t="inlineStr">
        <is>
          <t>11.10.2024</t>
        </is>
      </c>
      <c r="F94" s="13" t="inlineStr">
        <is>
          <t>03.02.2025</t>
        </is>
      </c>
      <c r="G94" s="13" t="inlineStr">
        <is>
          <t>2025</t>
        </is>
      </c>
      <c r="H94" s="13" t="inlineStr">
        <is>
          <t>Defatted Coconut Powder</t>
        </is>
      </c>
      <c r="I94" s="13" t="inlineStr">
        <is>
          <t>Classification</t>
        </is>
      </c>
      <c r="J94" s="13" t="inlineStr">
        <is>
          <t>inferred</t>
        </is>
      </c>
      <c r="K94" s="13" t="inlineStr">
        <is>
          <t>CAAR/Del/Perfect/20/2025</t>
        </is>
      </c>
      <c r="L94" s="13" t="inlineStr"/>
      <c r="M94" s="13" t="inlineStr">
        <is>
          <t>NO</t>
        </is>
      </c>
    </row>
    <row r="95">
      <c r="A95" s="13" t="inlineStr">
        <is>
          <t>Delhi Rulings</t>
        </is>
      </c>
      <c r="B95" s="13" t="inlineStr">
        <is>
          <t>10</t>
        </is>
      </c>
      <c r="C95" s="13" t="inlineStr">
        <is>
          <t>91</t>
        </is>
      </c>
      <c r="D95" s="13" t="inlineStr">
        <is>
          <t>M/s Clarion India Private Limited</t>
        </is>
      </c>
      <c r="E95" s="13" t="inlineStr">
        <is>
          <t>24.09.2024</t>
        </is>
      </c>
      <c r="F95" s="13" t="inlineStr">
        <is>
          <t>24.01.2025</t>
        </is>
      </c>
      <c r="G95" s="13" t="inlineStr">
        <is>
          <t>2025</t>
        </is>
      </c>
      <c r="H95" s="13" t="inlineStr">
        <is>
          <t>LCD panel, Touch Screen and Printed Circuit Boards</t>
        </is>
      </c>
      <c r="I95" s="13" t="inlineStr">
        <is>
          <t>Classification</t>
        </is>
      </c>
      <c r="J95" s="13" t="inlineStr">
        <is>
          <t>inferred</t>
        </is>
      </c>
      <c r="K95" s="13" t="inlineStr">
        <is>
          <t>CAAR/Del/Clarion/19/2025</t>
        </is>
      </c>
      <c r="L95" s="14" t="inlineStr">
        <is>
          <t>https://www.cbic.gov.in/content/pdf/CONTENTREPO/CAAR/caar-del-clarion-19-28012025.pdf</t>
        </is>
      </c>
      <c r="M95" s="13" t="inlineStr">
        <is>
          <t>YES</t>
        </is>
      </c>
    </row>
    <row r="96">
      <c r="A96" s="13" t="inlineStr">
        <is>
          <t>Delhi Rulings</t>
        </is>
      </c>
      <c r="B96" s="13" t="inlineStr">
        <is>
          <t>10</t>
        </is>
      </c>
      <c r="C96" s="13" t="inlineStr">
        <is>
          <t>92</t>
        </is>
      </c>
      <c r="D96" s="13" t="inlineStr">
        <is>
          <t>M/s Amazon Wholesale India Private Limited</t>
        </is>
      </c>
      <c r="E96" s="13" t="inlineStr">
        <is>
          <t>30.10.2024</t>
        </is>
      </c>
      <c r="F96" s="13" t="inlineStr">
        <is>
          <t>24.01.2025</t>
        </is>
      </c>
      <c r="G96" s="13" t="inlineStr">
        <is>
          <t>2025</t>
        </is>
      </c>
      <c r="H96" s="13" t="inlineStr">
        <is>
          <t>Import of “Electronic Display Device (E-Reader) (Kindle Paperwhite Gen12) Model No. SA568B)"</t>
        </is>
      </c>
      <c r="I96" s="13" t="inlineStr">
        <is>
          <t>Classification</t>
        </is>
      </c>
      <c r="J96" s="13" t="inlineStr">
        <is>
          <t>inferred</t>
        </is>
      </c>
      <c r="K96" s="13" t="inlineStr">
        <is>
          <t>CAAR/Del/Amazon/18/2025</t>
        </is>
      </c>
      <c r="L96" s="13" t="inlineStr"/>
      <c r="M96" s="13" t="inlineStr">
        <is>
          <t>NO</t>
        </is>
      </c>
    </row>
    <row r="97">
      <c r="A97" s="13" t="inlineStr">
        <is>
          <t>Delhi Rulings</t>
        </is>
      </c>
      <c r="B97" s="13" t="inlineStr">
        <is>
          <t>10</t>
        </is>
      </c>
      <c r="C97" s="13" t="inlineStr">
        <is>
          <t>93</t>
        </is>
      </c>
      <c r="D97" s="13" t="inlineStr">
        <is>
          <t>M/s Apple Operations International (Ltd.)</t>
        </is>
      </c>
      <c r="E97" s="13" t="inlineStr">
        <is>
          <t>09-10-2024</t>
        </is>
      </c>
      <c r="F97" s="13" t="inlineStr">
        <is>
          <t>23.01.2025</t>
        </is>
      </c>
      <c r="G97" s="13" t="inlineStr">
        <is>
          <t>2025</t>
        </is>
      </c>
      <c r="H97" s="13" t="inlineStr">
        <is>
          <t>Export of “Rear camera Integrated Module Subassembly" (product)</t>
        </is>
      </c>
      <c r="I97" s="13" t="inlineStr">
        <is>
          <t>Classification</t>
        </is>
      </c>
      <c r="J97" s="13" t="inlineStr">
        <is>
          <t>inferred</t>
        </is>
      </c>
      <c r="K97" s="13" t="inlineStr">
        <is>
          <t>CAAR/Del/Apple/17/2025</t>
        </is>
      </c>
      <c r="L97" s="14" t="inlineStr">
        <is>
          <t>https://www.cbic.gov.in/content/pdf/CONTENTREPO/CAAR/caar-del-apple-17-28012025.pdf</t>
        </is>
      </c>
      <c r="M97" s="13" t="inlineStr">
        <is>
          <t>YES</t>
        </is>
      </c>
    </row>
    <row r="98">
      <c r="A98" s="13" t="inlineStr">
        <is>
          <t>Delhi Rulings</t>
        </is>
      </c>
      <c r="B98" s="13" t="inlineStr">
        <is>
          <t>10</t>
        </is>
      </c>
      <c r="C98" s="13" t="inlineStr">
        <is>
          <t>94</t>
        </is>
      </c>
      <c r="D98" s="13" t="inlineStr">
        <is>
          <t>M/s Apple Operations International (Ltd.)</t>
        </is>
      </c>
      <c r="E98" s="13" t="inlineStr">
        <is>
          <t>09-10-2024</t>
        </is>
      </c>
      <c r="F98" s="13" t="inlineStr">
        <is>
          <t>23.01.2025</t>
        </is>
      </c>
      <c r="G98" s="13" t="inlineStr">
        <is>
          <t>2025</t>
        </is>
      </c>
      <c r="H98" s="13" t="inlineStr">
        <is>
          <t>Export of “Pearl Assembly Module Subassembly" (product)</t>
        </is>
      </c>
      <c r="I98" s="13" t="inlineStr">
        <is>
          <t>Classification</t>
        </is>
      </c>
      <c r="J98" s="13" t="inlineStr">
        <is>
          <t>inferred</t>
        </is>
      </c>
      <c r="K98" s="13" t="inlineStr">
        <is>
          <t>CAAR/Del/Apple/16/2025</t>
        </is>
      </c>
      <c r="L98" s="14" t="inlineStr">
        <is>
          <t>https://www.cbic.gov.in/content/pdf/CONTENTREPO/CAAR/caar-del-apple-16-28012025.pdf</t>
        </is>
      </c>
      <c r="M98" s="13" t="inlineStr">
        <is>
          <t>YES</t>
        </is>
      </c>
    </row>
    <row r="99">
      <c r="A99" s="13" t="inlineStr">
        <is>
          <t>Delhi Rulings</t>
        </is>
      </c>
      <c r="B99" s="13" t="inlineStr">
        <is>
          <t>10</t>
        </is>
      </c>
      <c r="C99" s="13" t="inlineStr">
        <is>
          <t>95</t>
        </is>
      </c>
      <c r="D99" s="13" t="inlineStr">
        <is>
          <t>M/s Apple Operations International (Ltd.)</t>
        </is>
      </c>
      <c r="E99" s="13" t="inlineStr">
        <is>
          <t>09-10-2024</t>
        </is>
      </c>
      <c r="F99" s="13" t="inlineStr">
        <is>
          <t>23.01.2025</t>
        </is>
      </c>
      <c r="G99" s="13" t="inlineStr">
        <is>
          <t>2025</t>
        </is>
      </c>
      <c r="H99" s="13" t="inlineStr">
        <is>
          <t>Export of “Pearl Assembly Module Subassembly" (product)</t>
        </is>
      </c>
      <c r="I99" s="13" t="inlineStr">
        <is>
          <t>Classification</t>
        </is>
      </c>
      <c r="J99" s="13" t="inlineStr">
        <is>
          <t>inferred</t>
        </is>
      </c>
      <c r="K99" s="13" t="inlineStr">
        <is>
          <t>CAAR/Del/Apple/15/2025</t>
        </is>
      </c>
      <c r="L99" s="14" t="inlineStr">
        <is>
          <t>https://www.cbic.gov.in/content/pdf/CONTENTREPO/CAAR/caar-del-apple-15-28012025.pdf</t>
        </is>
      </c>
      <c r="M99" s="13" t="inlineStr">
        <is>
          <t>YES</t>
        </is>
      </c>
    </row>
    <row r="100">
      <c r="A100" s="13" t="inlineStr">
        <is>
          <t>Delhi Rulings</t>
        </is>
      </c>
      <c r="B100" s="13" t="inlineStr">
        <is>
          <t>10</t>
        </is>
      </c>
      <c r="C100" s="13" t="inlineStr">
        <is>
          <t>96</t>
        </is>
      </c>
      <c r="D100" s="13" t="inlineStr">
        <is>
          <t>M/s Apple Operations International (Ltd.)</t>
        </is>
      </c>
      <c r="E100" s="13" t="inlineStr">
        <is>
          <t>09-10-2024</t>
        </is>
      </c>
      <c r="F100" s="13" t="inlineStr">
        <is>
          <t>23.01.2025</t>
        </is>
      </c>
      <c r="G100" s="13" t="inlineStr">
        <is>
          <t>2025</t>
        </is>
      </c>
      <c r="H100" s="13" t="inlineStr">
        <is>
          <t>Export of “Rear camera Integrated Module Subassembly" (product)</t>
        </is>
      </c>
      <c r="I100" s="13" t="inlineStr">
        <is>
          <t>Classification</t>
        </is>
      </c>
      <c r="J100" s="13" t="inlineStr">
        <is>
          <t>inferred</t>
        </is>
      </c>
      <c r="K100" s="13" t="inlineStr">
        <is>
          <t>CAAR/Del/Apple/14/2025</t>
        </is>
      </c>
      <c r="L100" s="14" t="inlineStr">
        <is>
          <t>https://www.cbic.gov.in/content/pdf/CONTENTREPO/CAAR/caar-del-apple-14-28012025.pdf</t>
        </is>
      </c>
      <c r="M100" s="13" t="inlineStr">
        <is>
          <t>YES</t>
        </is>
      </c>
    </row>
    <row r="101">
      <c r="A101" s="13" t="inlineStr">
        <is>
          <t>Delhi Rulings</t>
        </is>
      </c>
      <c r="B101" s="13" t="inlineStr">
        <is>
          <t>10</t>
        </is>
      </c>
      <c r="C101" s="13" t="inlineStr">
        <is>
          <t>97</t>
        </is>
      </c>
      <c r="D101" s="13" t="inlineStr">
        <is>
          <t>M/s Apple Operations International (Ltd.)</t>
        </is>
      </c>
      <c r="E101" s="13" t="inlineStr">
        <is>
          <t>09-10-2024</t>
        </is>
      </c>
      <c r="F101" s="13" t="inlineStr">
        <is>
          <t>23.01.2025</t>
        </is>
      </c>
      <c r="G101" s="13" t="inlineStr">
        <is>
          <t>2025</t>
        </is>
      </c>
      <c r="H101" s="13" t="inlineStr">
        <is>
          <t>Export of “Back Glass Subassembly" (product)</t>
        </is>
      </c>
      <c r="I101" s="13" t="inlineStr">
        <is>
          <t>Classification</t>
        </is>
      </c>
      <c r="J101" s="13" t="inlineStr">
        <is>
          <t>inferred</t>
        </is>
      </c>
      <c r="K101" s="13" t="inlineStr">
        <is>
          <t>CAAR/Del/Apple/13/2025</t>
        </is>
      </c>
      <c r="L101" s="14" t="inlineStr">
        <is>
          <t>https://www.cbic.gov.in/content/pdf/CONTENTREPO/CAAR/caar-del-apple-13-28012025.pdf</t>
        </is>
      </c>
      <c r="M101" s="13" t="inlineStr">
        <is>
          <t>YES</t>
        </is>
      </c>
    </row>
    <row r="102">
      <c r="A102" s="13" t="inlineStr">
        <is>
          <t>Delhi Rulings</t>
        </is>
      </c>
      <c r="B102" s="13" t="inlineStr">
        <is>
          <t>10</t>
        </is>
      </c>
      <c r="C102" s="13" t="inlineStr">
        <is>
          <t>98</t>
        </is>
      </c>
      <c r="D102" s="13" t="inlineStr">
        <is>
          <t>M/s Apple Operations International (Ltd.)</t>
        </is>
      </c>
      <c r="E102" s="13" t="inlineStr">
        <is>
          <t>09-10-2024</t>
        </is>
      </c>
      <c r="F102" s="13" t="inlineStr">
        <is>
          <t>23.01.2025</t>
        </is>
      </c>
      <c r="G102" s="13" t="inlineStr">
        <is>
          <t>2025</t>
        </is>
      </c>
      <c r="H102" s="13" t="inlineStr">
        <is>
          <t>Export of “housing Module" (product)</t>
        </is>
      </c>
      <c r="I102" s="13" t="inlineStr">
        <is>
          <t>Classification</t>
        </is>
      </c>
      <c r="J102" s="13" t="inlineStr">
        <is>
          <t>inferred</t>
        </is>
      </c>
      <c r="K102" s="13" t="inlineStr">
        <is>
          <t>CAAR/Del/Apple/12/2025</t>
        </is>
      </c>
      <c r="L102" s="14" t="inlineStr">
        <is>
          <t>https://www.cbic.gov.in/content/pdf/CONTENTREPO/CAAR/caar-del-apple-12-28012025.pdf</t>
        </is>
      </c>
      <c r="M102" s="13" t="inlineStr">
        <is>
          <t>YES</t>
        </is>
      </c>
    </row>
    <row r="103">
      <c r="A103" s="13" t="inlineStr">
        <is>
          <t>Delhi Rulings</t>
        </is>
      </c>
      <c r="B103" s="13" t="inlineStr">
        <is>
          <t>10</t>
        </is>
      </c>
      <c r="C103" s="13" t="inlineStr">
        <is>
          <t>99</t>
        </is>
      </c>
      <c r="D103" s="13" t="inlineStr">
        <is>
          <t>M/s Apple Operations International (Ltd.)</t>
        </is>
      </c>
      <c r="E103" s="13" t="inlineStr">
        <is>
          <t>09-10-2024</t>
        </is>
      </c>
      <c r="F103" s="13" t="inlineStr">
        <is>
          <t>23.01.2025</t>
        </is>
      </c>
      <c r="G103" s="13" t="inlineStr">
        <is>
          <t>2025</t>
        </is>
      </c>
      <c r="H103" s="13" t="inlineStr">
        <is>
          <t>Export of “Cover Glass Module" (product)</t>
        </is>
      </c>
      <c r="I103" s="13" t="inlineStr">
        <is>
          <t>Classification</t>
        </is>
      </c>
      <c r="J103" s="13" t="inlineStr">
        <is>
          <t>inferred</t>
        </is>
      </c>
      <c r="K103" s="13" t="inlineStr">
        <is>
          <t>CAAR/Del/Apple/11/2025</t>
        </is>
      </c>
      <c r="L103" s="14" t="inlineStr">
        <is>
          <t>https://www.cbic.gov.in/content/pdf/CONTENTREPO/CAAR/caar-del-apple-11-28012025.pdf</t>
        </is>
      </c>
      <c r="M103" s="13" t="inlineStr">
        <is>
          <t>YES</t>
        </is>
      </c>
    </row>
    <row r="104">
      <c r="A104" s="13" t="inlineStr">
        <is>
          <t>Delhi Rulings</t>
        </is>
      </c>
      <c r="B104" s="13" t="inlineStr">
        <is>
          <t>10</t>
        </is>
      </c>
      <c r="C104" s="13" t="inlineStr">
        <is>
          <t>100</t>
        </is>
      </c>
      <c r="D104" s="13" t="inlineStr">
        <is>
          <t>M/s Apple Operations International (Ltd.)</t>
        </is>
      </c>
      <c r="E104" s="13" t="inlineStr">
        <is>
          <t>09-10-2024</t>
        </is>
      </c>
      <c r="F104" s="13" t="inlineStr">
        <is>
          <t>23.01.2025</t>
        </is>
      </c>
      <c r="G104" s="13" t="inlineStr">
        <is>
          <t>2025</t>
        </is>
      </c>
      <c r="H104" s="13" t="inlineStr">
        <is>
          <t>Export of "Receiver Upper Antenna" Subassembly (Product)</t>
        </is>
      </c>
      <c r="I104" s="13" t="inlineStr">
        <is>
          <t>Classification</t>
        </is>
      </c>
      <c r="J104" s="13" t="inlineStr">
        <is>
          <t>inferred</t>
        </is>
      </c>
      <c r="K104" s="13" t="inlineStr">
        <is>
          <t>CAAR/Del/Apple/10/2025</t>
        </is>
      </c>
      <c r="L104" s="14" t="inlineStr">
        <is>
          <t>https://www.cbic.gov.in/content/pdf/CONTENTREPO/CAAR/caar-del-apple-10-28012025.pdf</t>
        </is>
      </c>
      <c r="M104" s="13" t="inlineStr">
        <is>
          <t>YES</t>
        </is>
      </c>
    </row>
    <row r="105">
      <c r="A105" s="13" t="inlineStr">
        <is>
          <t>Delhi Rulings</t>
        </is>
      </c>
      <c r="B105" s="13" t="inlineStr">
        <is>
          <t>11</t>
        </is>
      </c>
      <c r="C105" s="13" t="inlineStr">
        <is>
          <t>101</t>
        </is>
      </c>
      <c r="D105" s="13" t="inlineStr">
        <is>
          <t>M/s Apple Operations International (Ltd.)</t>
        </is>
      </c>
      <c r="E105" s="13" t="inlineStr">
        <is>
          <t>09-10-2024</t>
        </is>
      </c>
      <c r="F105" s="13" t="inlineStr">
        <is>
          <t>22.01.2025</t>
        </is>
      </c>
      <c r="G105" s="13" t="inlineStr">
        <is>
          <t>2025</t>
        </is>
      </c>
      <c r="H105" s="13" t="inlineStr">
        <is>
          <t>Export of “Back Glass Subassembly"(product)</t>
        </is>
      </c>
      <c r="I105" s="13" t="inlineStr">
        <is>
          <t>Classification</t>
        </is>
      </c>
      <c r="J105" s="13" t="inlineStr">
        <is>
          <t>inferred</t>
        </is>
      </c>
      <c r="K105" s="13" t="inlineStr">
        <is>
          <t>CAAR/Del/Apple/09/2025</t>
        </is>
      </c>
      <c r="L105" s="14" t="inlineStr">
        <is>
          <t>https://www.cbic.gov.in/content/pdf/CONTENTREPO/CAAR/caar-del-apple-09-28012025.pdf</t>
        </is>
      </c>
      <c r="M105" s="13" t="inlineStr">
        <is>
          <t>YES</t>
        </is>
      </c>
    </row>
    <row r="106">
      <c r="A106" s="13" t="inlineStr">
        <is>
          <t>Delhi Rulings</t>
        </is>
      </c>
      <c r="B106" s="13" t="inlineStr">
        <is>
          <t>11</t>
        </is>
      </c>
      <c r="C106" s="13" t="inlineStr">
        <is>
          <t>102</t>
        </is>
      </c>
      <c r="D106" s="13" t="inlineStr">
        <is>
          <t>M/s Apple Operations International (Ltd.)</t>
        </is>
      </c>
      <c r="E106" s="13" t="inlineStr">
        <is>
          <t>09-10-2024</t>
        </is>
      </c>
      <c r="F106" s="13" t="inlineStr">
        <is>
          <t>22.01.2025</t>
        </is>
      </c>
      <c r="G106" s="13" t="inlineStr">
        <is>
          <t>2025</t>
        </is>
      </c>
      <c r="H106" s="13" t="inlineStr">
        <is>
          <t>Export of “housing Module" (product)</t>
        </is>
      </c>
      <c r="I106" s="13" t="inlineStr">
        <is>
          <t>Classification</t>
        </is>
      </c>
      <c r="J106" s="13" t="inlineStr">
        <is>
          <t>inferred</t>
        </is>
      </c>
      <c r="K106" s="13" t="inlineStr">
        <is>
          <t>CAAR/Del/Apple/08/2025</t>
        </is>
      </c>
      <c r="L106" s="14" t="inlineStr">
        <is>
          <t>https://www.cbic.gov.in/content/pdf/CONTENTREPO/CAAR/caar-del-apple-08-28012025.pdf</t>
        </is>
      </c>
      <c r="M106" s="13" t="inlineStr">
        <is>
          <t>YES</t>
        </is>
      </c>
    </row>
    <row r="107">
      <c r="A107" s="13" t="inlineStr">
        <is>
          <t>Delhi Rulings</t>
        </is>
      </c>
      <c r="B107" s="13" t="inlineStr">
        <is>
          <t>11</t>
        </is>
      </c>
      <c r="C107" s="13" t="inlineStr">
        <is>
          <t>103</t>
        </is>
      </c>
      <c r="D107" s="13" t="inlineStr">
        <is>
          <t>M/s Apple Operations International (Ltd.)</t>
        </is>
      </c>
      <c r="E107" s="13" t="inlineStr">
        <is>
          <t>09-10-2024</t>
        </is>
      </c>
      <c r="F107" s="13" t="inlineStr">
        <is>
          <t>22.01.2025</t>
        </is>
      </c>
      <c r="G107" s="13" t="inlineStr">
        <is>
          <t>2025</t>
        </is>
      </c>
      <c r="H107" s="13" t="inlineStr">
        <is>
          <t>Export of “Cover Glass Module" (product)</t>
        </is>
      </c>
      <c r="I107" s="13" t="inlineStr">
        <is>
          <t>Classification</t>
        </is>
      </c>
      <c r="J107" s="13" t="inlineStr">
        <is>
          <t>inferred</t>
        </is>
      </c>
      <c r="K107" s="13" t="inlineStr">
        <is>
          <t>CAAR/Del/Apple/07/2025</t>
        </is>
      </c>
      <c r="L107" s="14" t="inlineStr">
        <is>
          <t>https://www.cbic.gov.in/content/pdf/CONTENTREPO/CAAR/caar-del-apple-07-28012025.pdf</t>
        </is>
      </c>
      <c r="M107" s="13" t="inlineStr">
        <is>
          <t>YES</t>
        </is>
      </c>
    </row>
    <row r="108">
      <c r="A108" s="13" t="inlineStr">
        <is>
          <t>Delhi Rulings</t>
        </is>
      </c>
      <c r="B108" s="13" t="inlineStr">
        <is>
          <t>11</t>
        </is>
      </c>
      <c r="C108" s="13" t="inlineStr">
        <is>
          <t>104</t>
        </is>
      </c>
      <c r="D108" s="13" t="inlineStr">
        <is>
          <t>M/s Apple Operations International (Ltd.)</t>
        </is>
      </c>
      <c r="E108" s="13" t="inlineStr">
        <is>
          <t>09-10-2024</t>
        </is>
      </c>
      <c r="F108" s="13" t="inlineStr">
        <is>
          <t>21.01.2025</t>
        </is>
      </c>
      <c r="G108" s="13" t="inlineStr">
        <is>
          <t>2025</t>
        </is>
      </c>
      <c r="H108" s="13" t="inlineStr">
        <is>
          <t>Export of "Receiver Upper Antenna Subassembly" (Product)</t>
        </is>
      </c>
      <c r="I108" s="13" t="inlineStr">
        <is>
          <t>Classification</t>
        </is>
      </c>
      <c r="J108" s="13" t="inlineStr">
        <is>
          <t>inferred</t>
        </is>
      </c>
      <c r="K108" s="13" t="inlineStr">
        <is>
          <t>CAAR/Del/Apple/06/2025</t>
        </is>
      </c>
      <c r="L108" s="14" t="inlineStr">
        <is>
          <t>https://www.cbic.gov.in/content/pdf/CONTENTREPO/CAAR/caar-del-apple-06-28012025.pdf</t>
        </is>
      </c>
      <c r="M108" s="13" t="inlineStr">
        <is>
          <t>YES</t>
        </is>
      </c>
    </row>
    <row r="109">
      <c r="A109" s="13" t="inlineStr">
        <is>
          <t>Delhi Rulings</t>
        </is>
      </c>
      <c r="B109" s="13" t="inlineStr">
        <is>
          <t>11</t>
        </is>
      </c>
      <c r="C109" s="13" t="inlineStr">
        <is>
          <t>105</t>
        </is>
      </c>
      <c r="D109" s="13" t="inlineStr">
        <is>
          <t>M/s Akam Impex</t>
        </is>
      </c>
      <c r="E109" s="13" t="inlineStr">
        <is>
          <t>13.12.2024</t>
        </is>
      </c>
      <c r="F109" s="13" t="inlineStr">
        <is>
          <t>14.01.2025</t>
        </is>
      </c>
      <c r="G109" s="13" t="inlineStr">
        <is>
          <t>2025</t>
        </is>
      </c>
      <c r="H109" s="13" t="inlineStr">
        <is>
          <t>Roasted Areca Nuts (whole), Roasted Areca Nuts (Split), Roasted Areca Nuts (cut)</t>
        </is>
      </c>
      <c r="I109" s="13" t="inlineStr">
        <is>
          <t>Classification</t>
        </is>
      </c>
      <c r="J109" s="13" t="inlineStr">
        <is>
          <t>inferred</t>
        </is>
      </c>
      <c r="K109" s="13" t="inlineStr">
        <is>
          <t>CAAR/Del/Akam/05/2025</t>
        </is>
      </c>
      <c r="L109" s="14" t="inlineStr">
        <is>
          <t>https://www.cbic.gov.in/content/pdf/CONTENTREPO/CAAR/caar-del-akam-05-20012025.pdf</t>
        </is>
      </c>
      <c r="M109" s="13" t="inlineStr">
        <is>
          <t>YES</t>
        </is>
      </c>
    </row>
    <row r="110">
      <c r="A110" s="13" t="inlineStr">
        <is>
          <t>Delhi Rulings</t>
        </is>
      </c>
      <c r="B110" s="13" t="inlineStr">
        <is>
          <t>11</t>
        </is>
      </c>
      <c r="C110" s="13" t="inlineStr">
        <is>
          <t>106</t>
        </is>
      </c>
      <c r="D110" s="13" t="inlineStr">
        <is>
          <t>M/s BYD India Private Limited</t>
        </is>
      </c>
      <c r="E110" s="13" t="inlineStr">
        <is>
          <t>28.10.2024</t>
        </is>
      </c>
      <c r="F110" s="13" t="inlineStr">
        <is>
          <t>14.01.2025</t>
        </is>
      </c>
      <c r="G110" s="13" t="inlineStr">
        <is>
          <t>2025</t>
        </is>
      </c>
      <c r="H110" s="13" t="inlineStr">
        <is>
          <t>Unassembled EV Kits</t>
        </is>
      </c>
      <c r="I110" s="13" t="inlineStr">
        <is>
          <t>Classification</t>
        </is>
      </c>
      <c r="J110" s="13" t="inlineStr">
        <is>
          <t>inferred</t>
        </is>
      </c>
      <c r="K110" s="13" t="inlineStr">
        <is>
          <t>CAAR/Del/B.Y.D. India/04/2025</t>
        </is>
      </c>
      <c r="L110" s="13" t="inlineStr"/>
      <c r="M110" s="13" t="inlineStr">
        <is>
          <t>NO</t>
        </is>
      </c>
    </row>
    <row r="111">
      <c r="A111" s="13" t="inlineStr">
        <is>
          <t>Delhi Rulings</t>
        </is>
      </c>
      <c r="B111" s="13" t="inlineStr">
        <is>
          <t>11</t>
        </is>
      </c>
      <c r="C111" s="13" t="inlineStr">
        <is>
          <t>107</t>
        </is>
      </c>
      <c r="D111" s="13" t="inlineStr">
        <is>
          <t>M/s Kodarma Chemi (p) ltds</t>
        </is>
      </c>
      <c r="E111" s="13" t="inlineStr">
        <is>
          <t>09.10.2024</t>
        </is>
      </c>
      <c r="F111" s="13" t="inlineStr">
        <is>
          <t>08.01.2025</t>
        </is>
      </c>
      <c r="G111" s="13" t="inlineStr">
        <is>
          <t>2025</t>
        </is>
      </c>
      <c r="H111" s="13" t="inlineStr">
        <is>
          <t>Pyrolysis Gasoline</t>
        </is>
      </c>
      <c r="I111" s="13" t="inlineStr">
        <is>
          <t>Classification</t>
        </is>
      </c>
      <c r="J111" s="13" t="inlineStr">
        <is>
          <t>inferred</t>
        </is>
      </c>
      <c r="K111" s="13" t="inlineStr">
        <is>
          <t>CAAR/Delhi/Kodarma/03/2025</t>
        </is>
      </c>
      <c r="L111" s="14" t="inlineStr">
        <is>
          <t>https://www.cbic.gov.in/content/pdf/CONTENTREPO/CAAR/caar-delhi-kodarama-13012025.pdf</t>
        </is>
      </c>
      <c r="M111" s="13" t="inlineStr">
        <is>
          <t>YES</t>
        </is>
      </c>
    </row>
    <row r="112">
      <c r="A112" s="13" t="inlineStr">
        <is>
          <t>Delhi Rulings</t>
        </is>
      </c>
      <c r="B112" s="13" t="inlineStr">
        <is>
          <t>11</t>
        </is>
      </c>
      <c r="C112" s="13" t="inlineStr">
        <is>
          <t>108</t>
        </is>
      </c>
      <c r="D112" s="13" t="inlineStr">
        <is>
          <t>M/s shri ram overseas</t>
        </is>
      </c>
      <c r="E112" s="13" t="inlineStr">
        <is>
          <t>16.10.2024</t>
        </is>
      </c>
      <c r="F112" s="13" t="inlineStr">
        <is>
          <t>08.01.2025</t>
        </is>
      </c>
      <c r="G112" s="13" t="inlineStr">
        <is>
          <t>2025</t>
        </is>
      </c>
      <c r="H112" s="13" t="inlineStr">
        <is>
          <t>Roasted Areca Nuts (whole), Roasted Areca Nuts (Split), Roasted Areca Nuts (cut)</t>
        </is>
      </c>
      <c r="I112" s="13" t="inlineStr">
        <is>
          <t>Classification</t>
        </is>
      </c>
      <c r="J112" s="13" t="inlineStr">
        <is>
          <t>inferred</t>
        </is>
      </c>
      <c r="K112" s="13" t="inlineStr">
        <is>
          <t>CAAR/Delhi/Shri Ram/02/2025</t>
        </is>
      </c>
      <c r="L112" s="14" t="inlineStr">
        <is>
          <t>https://www.cbic.gov.in/content/pdf/CONTENTREPO/CAAR/caar-delhi-13jan2025.pdf</t>
        </is>
      </c>
      <c r="M112" s="13" t="inlineStr">
        <is>
          <t>YES</t>
        </is>
      </c>
    </row>
    <row r="113">
      <c r="A113" s="13" t="inlineStr">
        <is>
          <t>Delhi Rulings</t>
        </is>
      </c>
      <c r="B113" s="13" t="inlineStr">
        <is>
          <t>11</t>
        </is>
      </c>
      <c r="C113" s="13" t="inlineStr">
        <is>
          <t>109</t>
        </is>
      </c>
      <c r="D113" s="13" t="inlineStr">
        <is>
          <t>M/s shri ram overseas</t>
        </is>
      </c>
      <c r="E113" s="13" t="inlineStr">
        <is>
          <t>16.10.2024</t>
        </is>
      </c>
      <c r="F113" s="13" t="inlineStr">
        <is>
          <t>08.01.2025</t>
        </is>
      </c>
      <c r="G113" s="13" t="inlineStr">
        <is>
          <t>2025</t>
        </is>
      </c>
      <c r="H113" s="13" t="inlineStr">
        <is>
          <t>Roasted Areca Nuts (whole), Roasted Areca Nuts (Split), Roasted Areca Nuts (cut)</t>
        </is>
      </c>
      <c r="I113" s="13" t="inlineStr">
        <is>
          <t>Classification</t>
        </is>
      </c>
      <c r="J113" s="13" t="inlineStr">
        <is>
          <t>inferred</t>
        </is>
      </c>
      <c r="K113" s="13" t="inlineStr">
        <is>
          <t>CAAR/Delhi/Shri Ram/01/2025</t>
        </is>
      </c>
      <c r="L113" s="14" t="inlineStr">
        <is>
          <t>https://www.cbic.gov.in/content/pdf/CONTENTREPO/CAAR/caar-delhi-13012025.pdf</t>
        </is>
      </c>
      <c r="M113" s="13" t="inlineStr">
        <is>
          <t>YES</t>
        </is>
      </c>
    </row>
    <row r="114">
      <c r="A114" s="13" t="inlineStr">
        <is>
          <t>Delhi Rulings</t>
        </is>
      </c>
      <c r="B114" s="13" t="inlineStr">
        <is>
          <t>11</t>
        </is>
      </c>
      <c r="C114" s="13" t="inlineStr">
        <is>
          <t>110</t>
        </is>
      </c>
      <c r="D114" s="13" t="inlineStr">
        <is>
          <t>M/s Star Enterprise</t>
        </is>
      </c>
      <c r="E114" s="13" t="inlineStr">
        <is>
          <t>03.10.2024</t>
        </is>
      </c>
      <c r="F114" s="13" t="inlineStr">
        <is>
          <t>31.12.2024</t>
        </is>
      </c>
      <c r="G114" s="13" t="inlineStr">
        <is>
          <t>2024</t>
        </is>
      </c>
      <c r="H114" s="13" t="inlineStr">
        <is>
          <t>Roasted Areca Nuts (whole), Roasted Areca Nuts (Split), Roasted Areca Nuts (cut)</t>
        </is>
      </c>
      <c r="I114" s="13" t="inlineStr">
        <is>
          <t>Classification</t>
        </is>
      </c>
      <c r="J114" s="13" t="inlineStr">
        <is>
          <t>inferred</t>
        </is>
      </c>
      <c r="K114" s="13" t="inlineStr">
        <is>
          <t>CAAR/Delhi/Star/122/2024</t>
        </is>
      </c>
      <c r="L114" s="14" t="inlineStr">
        <is>
          <t>https://www.cbic.gov.in/content/pdf/CONTENTREPO/CAAR/caar-del-star-122-03012025.pdf</t>
        </is>
      </c>
      <c r="M114" s="13" t="inlineStr">
        <is>
          <t>YES</t>
        </is>
      </c>
    </row>
    <row r="115">
      <c r="A115" s="13" t="inlineStr">
        <is>
          <t>Delhi Rulings</t>
        </is>
      </c>
      <c r="B115" s="13" t="inlineStr">
        <is>
          <t>12</t>
        </is>
      </c>
      <c r="C115" s="13" t="inlineStr">
        <is>
          <t>111</t>
        </is>
      </c>
      <c r="D115" s="13" t="inlineStr">
        <is>
          <t>Danisco India Pvt. Ltd.</t>
        </is>
      </c>
      <c r="E115" s="13" t="inlineStr">
        <is>
          <t>24.09.2024</t>
        </is>
      </c>
      <c r="F115" s="13" t="inlineStr">
        <is>
          <t>30.12.2024</t>
        </is>
      </c>
      <c r="G115" s="13" t="inlineStr">
        <is>
          <t>2024</t>
        </is>
      </c>
      <c r="H115" s="13" t="inlineStr">
        <is>
          <t>Grindsted PGE 55-M</t>
        </is>
      </c>
      <c r="I115" s="13" t="inlineStr">
        <is>
          <t>Classification</t>
        </is>
      </c>
      <c r="J115" s="13" t="inlineStr">
        <is>
          <t>inferred</t>
        </is>
      </c>
      <c r="K115" s="13" t="inlineStr">
        <is>
          <t>CAAR/Delhi/Danisco/121/2024</t>
        </is>
      </c>
      <c r="L115" s="14" t="inlineStr">
        <is>
          <t>https://www.cbic.gov.in/content/pdf/CONTENTREPO/CAAR/CAAR-Danisco-121-2024.pdf</t>
        </is>
      </c>
      <c r="M115" s="13" t="inlineStr">
        <is>
          <t>YES</t>
        </is>
      </c>
    </row>
    <row r="116">
      <c r="A116" s="13" t="inlineStr">
        <is>
          <t>Delhi Rulings</t>
        </is>
      </c>
      <c r="B116" s="13" t="inlineStr">
        <is>
          <t>12</t>
        </is>
      </c>
      <c r="C116" s="13" t="inlineStr">
        <is>
          <t>112</t>
        </is>
      </c>
      <c r="D116" s="13" t="inlineStr">
        <is>
          <t>Danisco India Pvt. Ltd.</t>
        </is>
      </c>
      <c r="E116" s="13" t="inlineStr">
        <is>
          <t>24.09.2024</t>
        </is>
      </c>
      <c r="F116" s="13" t="inlineStr">
        <is>
          <t>30.12.2024</t>
        </is>
      </c>
      <c r="G116" s="13" t="inlineStr">
        <is>
          <t>2024</t>
        </is>
      </c>
      <c r="H116" s="13" t="inlineStr">
        <is>
          <t>Grindsted SSL P 70 Veg</t>
        </is>
      </c>
      <c r="I116" s="13" t="inlineStr">
        <is>
          <t>Classification</t>
        </is>
      </c>
      <c r="J116" s="13" t="inlineStr">
        <is>
          <t>inferred</t>
        </is>
      </c>
      <c r="K116" s="13" t="inlineStr">
        <is>
          <t>CAAR/Delhi/Danisco/120/2024</t>
        </is>
      </c>
      <c r="L116" s="14" t="inlineStr">
        <is>
          <t>https://www.cbic.gov.in/content/pdf/CONTENTREPO/CAAR/CAAR-Danisco-120-2024.pdf</t>
        </is>
      </c>
      <c r="M116" s="13" t="inlineStr">
        <is>
          <t>YES</t>
        </is>
      </c>
    </row>
    <row r="117">
      <c r="A117" s="13" t="inlineStr">
        <is>
          <t>Delhi Rulings</t>
        </is>
      </c>
      <c r="B117" s="13" t="inlineStr">
        <is>
          <t>12</t>
        </is>
      </c>
      <c r="C117" s="13" t="inlineStr">
        <is>
          <t>113</t>
        </is>
      </c>
      <c r="D117" s="13" t="inlineStr">
        <is>
          <t>Danisco India Pvt. Ltd.</t>
        </is>
      </c>
      <c r="E117" s="13" t="inlineStr">
        <is>
          <t>24.09.2024</t>
        </is>
      </c>
      <c r="F117" s="13" t="inlineStr">
        <is>
          <t>30.12.2024</t>
        </is>
      </c>
      <c r="G117" s="13" t="inlineStr">
        <is>
          <t>2024</t>
        </is>
      </c>
      <c r="H117" s="13" t="inlineStr">
        <is>
          <t>Grindsted PGMS 86</t>
        </is>
      </c>
      <c r="I117" s="13" t="inlineStr">
        <is>
          <t>Classification</t>
        </is>
      </c>
      <c r="J117" s="13" t="inlineStr">
        <is>
          <t>inferred</t>
        </is>
      </c>
      <c r="K117" s="13" t="inlineStr">
        <is>
          <t>CAAR/Delhi/Danisco/119/2024</t>
        </is>
      </c>
      <c r="L117" s="14" t="inlineStr">
        <is>
          <t>https://www.cbic.gov.in/content/pdf/CONTENTREPO/CAAR/CAAR-Danisco-119-2024.pdf</t>
        </is>
      </c>
      <c r="M117" s="13" t="inlineStr">
        <is>
          <t>YES</t>
        </is>
      </c>
    </row>
    <row r="118">
      <c r="A118" s="13" t="inlineStr">
        <is>
          <t>Delhi Rulings</t>
        </is>
      </c>
      <c r="B118" s="13" t="inlineStr">
        <is>
          <t>12</t>
        </is>
      </c>
      <c r="C118" s="13" t="inlineStr">
        <is>
          <t>114</t>
        </is>
      </c>
      <c r="D118" s="13" t="inlineStr">
        <is>
          <t>Star Enterprise</t>
        </is>
      </c>
      <c r="E118" s="13" t="inlineStr">
        <is>
          <t>24.09.2024</t>
        </is>
      </c>
      <c r="F118" s="13" t="inlineStr">
        <is>
          <t>27.12.2024</t>
        </is>
      </c>
      <c r="G118" s="13" t="inlineStr">
        <is>
          <t>2024</t>
        </is>
      </c>
      <c r="H118" s="13" t="inlineStr">
        <is>
          <t>Roasted Areca Nuts (whole), Roasted Areca Nuts (Split), Roasted Areca Nuts (cut)</t>
        </is>
      </c>
      <c r="I118" s="13" t="inlineStr">
        <is>
          <t>Classification</t>
        </is>
      </c>
      <c r="J118" s="13" t="inlineStr">
        <is>
          <t>inferred</t>
        </is>
      </c>
      <c r="K118" s="13" t="inlineStr">
        <is>
          <t>CAAR/Delhi/Star/118/2024</t>
        </is>
      </c>
      <c r="L118" s="14" t="inlineStr">
        <is>
          <t>https://www.cbic.gov.in/content/pdf/CONTENTREPO/CAAR/caar-delhi-rul-118-31122024.pdf</t>
        </is>
      </c>
      <c r="M118" s="13" t="inlineStr">
        <is>
          <t>YES</t>
        </is>
      </c>
    </row>
    <row r="119">
      <c r="A119" s="13" t="inlineStr">
        <is>
          <t>Delhi Rulings</t>
        </is>
      </c>
      <c r="B119" s="13" t="inlineStr">
        <is>
          <t>12</t>
        </is>
      </c>
      <c r="C119" s="13" t="inlineStr">
        <is>
          <t>115</t>
        </is>
      </c>
      <c r="D119" s="13" t="inlineStr">
        <is>
          <t>Danisco India Pvt. Ltd.</t>
        </is>
      </c>
      <c r="E119" s="13" t="inlineStr">
        <is>
          <t>23.09.2024</t>
        </is>
      </c>
      <c r="F119" s="13" t="inlineStr">
        <is>
          <t>27.12.2024</t>
        </is>
      </c>
      <c r="G119" s="13" t="inlineStr">
        <is>
          <t>2024</t>
        </is>
      </c>
      <c r="H119" s="13" t="inlineStr">
        <is>
          <t>Grindsted PS 101 M</t>
        </is>
      </c>
      <c r="I119" s="13" t="inlineStr">
        <is>
          <t>Classification</t>
        </is>
      </c>
      <c r="J119" s="13" t="inlineStr">
        <is>
          <t>inferred</t>
        </is>
      </c>
      <c r="K119" s="13" t="inlineStr">
        <is>
          <t>CAAR/Delhi/Danisco/117/2024</t>
        </is>
      </c>
      <c r="L119" s="14" t="inlineStr">
        <is>
          <t>https://www.cbic.gov.in/content/pdf/CONTENTREPO/CAAR/caar-delhi-rul-117-31122024.pdf</t>
        </is>
      </c>
      <c r="M119" s="13" t="inlineStr">
        <is>
          <t>YES</t>
        </is>
      </c>
    </row>
    <row r="120">
      <c r="A120" s="13" t="inlineStr">
        <is>
          <t>Delhi Rulings</t>
        </is>
      </c>
      <c r="B120" s="13" t="inlineStr">
        <is>
          <t>12</t>
        </is>
      </c>
      <c r="C120" s="13" t="inlineStr">
        <is>
          <t>116</t>
        </is>
      </c>
      <c r="D120" s="13" t="inlineStr">
        <is>
          <t>Danisco India Pvt. Ltd</t>
        </is>
      </c>
      <c r="E120" s="13" t="inlineStr">
        <is>
          <t>24.09.2024</t>
        </is>
      </c>
      <c r="F120" s="13" t="inlineStr">
        <is>
          <t>26.12.2024</t>
        </is>
      </c>
      <c r="G120" s="13" t="inlineStr">
        <is>
          <t>2024</t>
        </is>
      </c>
      <c r="H120" s="13" t="inlineStr">
        <is>
          <t>Dimodan HP-M and Dimodan HP</t>
        </is>
      </c>
      <c r="I120" s="13" t="inlineStr">
        <is>
          <t>Classification</t>
        </is>
      </c>
      <c r="J120" s="13" t="inlineStr">
        <is>
          <t>inferred</t>
        </is>
      </c>
      <c r="K120" s="13" t="inlineStr">
        <is>
          <t>CAAR/Delhi/Dansico/116/2024</t>
        </is>
      </c>
      <c r="L120" s="14" t="inlineStr">
        <is>
          <t>https://www.cbic.gov.in/content/pdf/CONTENTREPO/CAAR/caar-delhi-116-2024.pdf</t>
        </is>
      </c>
      <c r="M120" s="13" t="inlineStr">
        <is>
          <t>YES</t>
        </is>
      </c>
    </row>
    <row r="121">
      <c r="A121" s="13" t="inlineStr">
        <is>
          <t>Delhi Rulings</t>
        </is>
      </c>
      <c r="B121" s="13" t="inlineStr">
        <is>
          <t>12</t>
        </is>
      </c>
      <c r="C121" s="13" t="inlineStr">
        <is>
          <t>117</t>
        </is>
      </c>
      <c r="D121" s="13" t="inlineStr">
        <is>
          <t>R V International</t>
        </is>
      </c>
      <c r="E121" s="13" t="inlineStr">
        <is>
          <t>23.09.2024</t>
        </is>
      </c>
      <c r="F121" s="13" t="inlineStr">
        <is>
          <t>24.12.2024</t>
        </is>
      </c>
      <c r="G121" s="13" t="inlineStr">
        <is>
          <t>2024</t>
        </is>
      </c>
      <c r="H121" s="13" t="inlineStr">
        <is>
          <t>Prov. Pres. Areca Nuts (whole/split)</t>
        </is>
      </c>
      <c r="I121" s="13" t="inlineStr">
        <is>
          <t>Classification</t>
        </is>
      </c>
      <c r="J121" s="13" t="inlineStr">
        <is>
          <t>inferred</t>
        </is>
      </c>
      <c r="K121" s="13" t="inlineStr">
        <is>
          <t>CAAR/Delhi/R V Intl./115/2024</t>
        </is>
      </c>
      <c r="L121" s="14" t="inlineStr">
        <is>
          <t>https://www.cbic.gov.in/content/pdf/CONTENTREPO/CAAR/caar-del-115-2024.pdf</t>
        </is>
      </c>
      <c r="M121" s="13" t="inlineStr">
        <is>
          <t>YES</t>
        </is>
      </c>
    </row>
    <row r="122">
      <c r="A122" s="13" t="inlineStr">
        <is>
          <t>Delhi Rulings</t>
        </is>
      </c>
      <c r="B122" s="13" t="inlineStr">
        <is>
          <t>12</t>
        </is>
      </c>
      <c r="C122" s="13" t="inlineStr">
        <is>
          <t>118</t>
        </is>
      </c>
      <c r="D122" s="13" t="inlineStr">
        <is>
          <t>R V International</t>
        </is>
      </c>
      <c r="E122" s="13" t="inlineStr">
        <is>
          <t>23.09.2024</t>
        </is>
      </c>
      <c r="F122" s="13" t="inlineStr">
        <is>
          <t>24.12.2024</t>
        </is>
      </c>
      <c r="G122" s="13" t="inlineStr">
        <is>
          <t>2024</t>
        </is>
      </c>
      <c r="H122" s="13" t="inlineStr">
        <is>
          <t>Prov. Pres. Areca Nuts (whole/split)</t>
        </is>
      </c>
      <c r="I122" s="13" t="inlineStr">
        <is>
          <t>Classification</t>
        </is>
      </c>
      <c r="J122" s="13" t="inlineStr">
        <is>
          <t>inferred</t>
        </is>
      </c>
      <c r="K122" s="13" t="inlineStr">
        <is>
          <t>CAAR/Delhi/R V Intl./114/2024</t>
        </is>
      </c>
      <c r="L122" s="14" t="inlineStr">
        <is>
          <t>https://www.cbic.gov.in/content/pdf/CONTENTREPO/CAAR/caar-del-114-2024.pdf</t>
        </is>
      </c>
      <c r="M122" s="13" t="inlineStr">
        <is>
          <t>YES</t>
        </is>
      </c>
    </row>
    <row r="123">
      <c r="A123" s="13" t="inlineStr">
        <is>
          <t>Delhi Rulings</t>
        </is>
      </c>
      <c r="B123" s="13" t="inlineStr">
        <is>
          <t>12</t>
        </is>
      </c>
      <c r="C123" s="13" t="inlineStr">
        <is>
          <t>119</t>
        </is>
      </c>
      <c r="D123" s="13" t="inlineStr">
        <is>
          <t>Samsung India Electronics Private Limited</t>
        </is>
      </c>
      <c r="E123" s="13" t="inlineStr">
        <is>
          <t>12.09.2024</t>
        </is>
      </c>
      <c r="F123" s="13" t="inlineStr">
        <is>
          <t>24.12.2024</t>
        </is>
      </c>
      <c r="G123" s="13" t="inlineStr">
        <is>
          <t>2024</t>
        </is>
      </c>
      <c r="H123" s="13" t="inlineStr">
        <is>
          <t>Samsung Galaxy Ring, Sizing Kit</t>
        </is>
      </c>
      <c r="I123" s="13" t="inlineStr">
        <is>
          <t>Classification</t>
        </is>
      </c>
      <c r="J123" s="13" t="inlineStr">
        <is>
          <t>inferred</t>
        </is>
      </c>
      <c r="K123" s="13" t="inlineStr">
        <is>
          <t>CAAR/Delhi/Samsung/113/2024</t>
        </is>
      </c>
      <c r="L123" s="14" t="inlineStr">
        <is>
          <t>https://www.cbic.gov.in/content/pdf/CONTENTREPO/CAAR/caar-samsung-113-2024.pdf</t>
        </is>
      </c>
      <c r="M123" s="13" t="inlineStr">
        <is>
          <t>YES</t>
        </is>
      </c>
    </row>
    <row r="124">
      <c r="A124" s="13" t="inlineStr">
        <is>
          <t>Delhi Rulings</t>
        </is>
      </c>
      <c r="B124" s="13" t="inlineStr">
        <is>
          <t>12</t>
        </is>
      </c>
      <c r="C124" s="13" t="inlineStr">
        <is>
          <t>120</t>
        </is>
      </c>
      <c r="D124" s="13" t="inlineStr">
        <is>
          <t>Lujee International Company Ltd</t>
        </is>
      </c>
      <c r="E124" s="13" t="inlineStr">
        <is>
          <t>24.09.2024</t>
        </is>
      </c>
      <c r="F124" s="13" t="inlineStr">
        <is>
          <t>24.12.2024</t>
        </is>
      </c>
      <c r="G124" s="13" t="inlineStr">
        <is>
          <t>2024</t>
        </is>
      </c>
      <c r="H124" s="13" t="inlineStr">
        <is>
          <t>provisionally Areca nuts (whole) and provisionally preserved Areca Nut( split)</t>
        </is>
      </c>
      <c r="I124" s="13" t="inlineStr">
        <is>
          <t>Classification</t>
        </is>
      </c>
      <c r="J124" s="13" t="inlineStr">
        <is>
          <t>inferred</t>
        </is>
      </c>
      <c r="K124" s="13" t="inlineStr">
        <is>
          <t>CAAR/Delhi/Lujje/112/2024</t>
        </is>
      </c>
      <c r="L124" s="14" t="inlineStr">
        <is>
          <t>https://www.cbic.gov.in/content/pdf/CONTENTREPO/CAAR/caar-lujee-112-2024.pdf</t>
        </is>
      </c>
      <c r="M124" s="13" t="inlineStr">
        <is>
          <t>YES</t>
        </is>
      </c>
    </row>
    <row r="125">
      <c r="A125" s="13" t="inlineStr">
        <is>
          <t>Delhi Rulings</t>
        </is>
      </c>
      <c r="B125" s="13" t="inlineStr">
        <is>
          <t>13</t>
        </is>
      </c>
      <c r="C125" s="13" t="inlineStr">
        <is>
          <t>121</t>
        </is>
      </c>
      <c r="D125" s="13" t="inlineStr">
        <is>
          <t>Lujee International Company Ltd</t>
        </is>
      </c>
      <c r="E125" s="13" t="inlineStr">
        <is>
          <t>24.09.2024</t>
        </is>
      </c>
      <c r="F125" s="13" t="inlineStr">
        <is>
          <t>24.12.2024</t>
        </is>
      </c>
      <c r="G125" s="13" t="inlineStr">
        <is>
          <t>2024</t>
        </is>
      </c>
      <c r="H125" s="13" t="inlineStr">
        <is>
          <t>provisionally Areca nuts (whole) and provisionally preserved Areca Nut( split)</t>
        </is>
      </c>
      <c r="I125" s="13" t="inlineStr">
        <is>
          <t>Classification</t>
        </is>
      </c>
      <c r="J125" s="13" t="inlineStr">
        <is>
          <t>inferred</t>
        </is>
      </c>
      <c r="K125" s="13" t="inlineStr">
        <is>
          <t>CAAR/Delhi/Lujje/111/2024</t>
        </is>
      </c>
      <c r="L125" s="14" t="inlineStr">
        <is>
          <t>https://www.cbic.gov.in/content/pdf/CONTENTREPO/CAAR/caar-lujee-111-2024.pdf</t>
        </is>
      </c>
      <c r="M125" s="13" t="inlineStr">
        <is>
          <t>YES</t>
        </is>
      </c>
    </row>
    <row r="126">
      <c r="A126" s="13" t="inlineStr">
        <is>
          <t>Delhi Rulings</t>
        </is>
      </c>
      <c r="B126" s="13" t="inlineStr">
        <is>
          <t>13</t>
        </is>
      </c>
      <c r="C126" s="13" t="inlineStr">
        <is>
          <t>122</t>
        </is>
      </c>
      <c r="D126" s="13" t="inlineStr">
        <is>
          <t>Lujee International Company Ltd</t>
        </is>
      </c>
      <c r="E126" s="13" t="inlineStr">
        <is>
          <t>24.09.2024</t>
        </is>
      </c>
      <c r="F126" s="13" t="inlineStr">
        <is>
          <t>24.12.2024</t>
        </is>
      </c>
      <c r="G126" s="13" t="inlineStr">
        <is>
          <t>2024</t>
        </is>
      </c>
      <c r="H126" s="13" t="inlineStr">
        <is>
          <t>provisionally Areca nuts (whole) and provisionally preserved Areca Nut( split)</t>
        </is>
      </c>
      <c r="I126" s="13" t="inlineStr">
        <is>
          <t>Classification</t>
        </is>
      </c>
      <c r="J126" s="13" t="inlineStr">
        <is>
          <t>inferred</t>
        </is>
      </c>
      <c r="K126" s="13" t="inlineStr">
        <is>
          <t>CAAR/Delhi/Lujje/110/2024</t>
        </is>
      </c>
      <c r="L126" s="14" t="inlineStr">
        <is>
          <t>https://www.cbic.gov.in/content/pdf/CONTENTREPO/CAAR/caar-lujee-110-2024.pdf</t>
        </is>
      </c>
      <c r="M126" s="13" t="inlineStr">
        <is>
          <t>YES</t>
        </is>
      </c>
    </row>
    <row r="127">
      <c r="A127" s="13" t="inlineStr">
        <is>
          <t>Delhi Rulings</t>
        </is>
      </c>
      <c r="B127" s="13" t="inlineStr">
        <is>
          <t>13</t>
        </is>
      </c>
      <c r="C127" s="13" t="inlineStr">
        <is>
          <t>123</t>
        </is>
      </c>
      <c r="D127" s="13" t="inlineStr">
        <is>
          <t>Betel Nuts Suppliers LLP</t>
        </is>
      </c>
      <c r="E127" s="13" t="inlineStr">
        <is>
          <t>23.09.2024</t>
        </is>
      </c>
      <c r="F127" s="13" t="inlineStr">
        <is>
          <t>23.12.2024</t>
        </is>
      </c>
      <c r="G127" s="13" t="inlineStr">
        <is>
          <t>2024</t>
        </is>
      </c>
      <c r="H127" s="13" t="inlineStr">
        <is>
          <t>Menthol scented supari</t>
        </is>
      </c>
      <c r="I127" s="13" t="inlineStr">
        <is>
          <t>Classification</t>
        </is>
      </c>
      <c r="J127" s="13" t="inlineStr">
        <is>
          <t>inferred</t>
        </is>
      </c>
      <c r="K127" s="13" t="inlineStr">
        <is>
          <t>CAAR/Delhi/Betelnut/109/2024</t>
        </is>
      </c>
      <c r="L127" s="14" t="inlineStr">
        <is>
          <t>https://www.cbic.gov.in/content/pdf/CONTENTREPO/CAAR/caar-delhi-rul-109-26122024.pdf</t>
        </is>
      </c>
      <c r="M127" s="13" t="inlineStr">
        <is>
          <t>YES</t>
        </is>
      </c>
    </row>
    <row r="128">
      <c r="A128" s="13" t="inlineStr">
        <is>
          <t>Delhi Rulings</t>
        </is>
      </c>
      <c r="B128" s="13" t="inlineStr">
        <is>
          <t>13</t>
        </is>
      </c>
      <c r="C128" s="13" t="inlineStr">
        <is>
          <t>124</t>
        </is>
      </c>
      <c r="D128" s="13" t="inlineStr">
        <is>
          <t>Lujee International Company Ltd</t>
        </is>
      </c>
      <c r="E128" s="13" t="inlineStr">
        <is>
          <t>24.09.2024</t>
        </is>
      </c>
      <c r="F128" s="13" t="inlineStr">
        <is>
          <t>23.12.2024</t>
        </is>
      </c>
      <c r="G128" s="13" t="inlineStr">
        <is>
          <t>2024</t>
        </is>
      </c>
      <c r="H128" s="13" t="inlineStr">
        <is>
          <t>Menthol scented supari and flavored coated illaichi</t>
        </is>
      </c>
      <c r="I128" s="13" t="inlineStr">
        <is>
          <t>Classification</t>
        </is>
      </c>
      <c r="J128" s="13" t="inlineStr">
        <is>
          <t>inferred</t>
        </is>
      </c>
      <c r="K128" s="13" t="inlineStr">
        <is>
          <t>CAAR/Delhi/Lujee/108/2024</t>
        </is>
      </c>
      <c r="L128" s="14" t="inlineStr">
        <is>
          <t>https://www.cbic.gov.in/content/pdf/CONTENTREPO/CAAR/caar-delhi-rul-108-26122024.pdf</t>
        </is>
      </c>
      <c r="M128" s="13" t="inlineStr">
        <is>
          <t>YES</t>
        </is>
      </c>
    </row>
    <row r="129">
      <c r="A129" s="13" t="inlineStr">
        <is>
          <t>Delhi Rulings</t>
        </is>
      </c>
      <c r="B129" s="13" t="inlineStr">
        <is>
          <t>13</t>
        </is>
      </c>
      <c r="C129" s="13" t="inlineStr">
        <is>
          <t>125</t>
        </is>
      </c>
      <c r="D129" s="13" t="inlineStr">
        <is>
          <t>Lujee International Company Ltd</t>
        </is>
      </c>
      <c r="E129" s="13" t="inlineStr">
        <is>
          <t>24.09.2024</t>
        </is>
      </c>
      <c r="F129" s="13" t="inlineStr">
        <is>
          <t>23.12.2024</t>
        </is>
      </c>
      <c r="G129" s="13" t="inlineStr">
        <is>
          <t>2024</t>
        </is>
      </c>
      <c r="H129" s="13" t="inlineStr">
        <is>
          <t>provisionally preserved Areca nuts (whole) and provisionally preserved Areca Nut(split)</t>
        </is>
      </c>
      <c r="I129" s="13" t="inlineStr">
        <is>
          <t>Classification</t>
        </is>
      </c>
      <c r="J129" s="13" t="inlineStr">
        <is>
          <t>inferred</t>
        </is>
      </c>
      <c r="K129" s="13" t="inlineStr">
        <is>
          <t>CAAR/Delhi/Lujee/107/2024</t>
        </is>
      </c>
      <c r="L129" s="14" t="inlineStr">
        <is>
          <t>https://www.cbic.gov.in/content/pdf/CONTENTREPO/CAAR/caar-delhi-rul-107-26122024.pdf</t>
        </is>
      </c>
      <c r="M129" s="13" t="inlineStr">
        <is>
          <t>YES</t>
        </is>
      </c>
    </row>
    <row r="130">
      <c r="A130" s="13" t="inlineStr">
        <is>
          <t>Delhi Rulings</t>
        </is>
      </c>
      <c r="B130" s="13" t="inlineStr">
        <is>
          <t>13</t>
        </is>
      </c>
      <c r="C130" s="13" t="inlineStr">
        <is>
          <t>126</t>
        </is>
      </c>
      <c r="D130" s="13" t="inlineStr">
        <is>
          <t>R V International</t>
        </is>
      </c>
      <c r="E130" s="13" t="inlineStr">
        <is>
          <t>23.09.2024</t>
        </is>
      </c>
      <c r="F130" s="13" t="inlineStr">
        <is>
          <t>23.12.2024</t>
        </is>
      </c>
      <c r="G130" s="13" t="inlineStr">
        <is>
          <t>2024</t>
        </is>
      </c>
      <c r="H130" s="13" t="inlineStr">
        <is>
          <t>Prov. Pres. Areca Nuts (whole/split)</t>
        </is>
      </c>
      <c r="I130" s="13" t="inlineStr">
        <is>
          <t>Classification</t>
        </is>
      </c>
      <c r="J130" s="13" t="inlineStr">
        <is>
          <t>inferred</t>
        </is>
      </c>
      <c r="K130" s="13" t="inlineStr">
        <is>
          <t>CAAR/Delhi/R.V. International/106/2024</t>
        </is>
      </c>
      <c r="L130" s="14" t="inlineStr">
        <is>
          <t>https://www.cbic.gov.in/content/pdf/CONTENTREPO/CAAR/caar-delhi-rul-106-26122024.pdf</t>
        </is>
      </c>
      <c r="M130" s="13" t="inlineStr">
        <is>
          <t>YES</t>
        </is>
      </c>
    </row>
    <row r="131">
      <c r="A131" s="13" t="inlineStr">
        <is>
          <t>Delhi Rulings</t>
        </is>
      </c>
      <c r="B131" s="13" t="inlineStr">
        <is>
          <t>13</t>
        </is>
      </c>
      <c r="C131" s="13" t="inlineStr">
        <is>
          <t>127</t>
        </is>
      </c>
      <c r="D131" s="13" t="inlineStr">
        <is>
          <t>R V International</t>
        </is>
      </c>
      <c r="E131" s="13" t="inlineStr">
        <is>
          <t>23.09.2024</t>
        </is>
      </c>
      <c r="F131" s="13" t="inlineStr">
        <is>
          <t>20.12.2024</t>
        </is>
      </c>
      <c r="G131" s="13" t="inlineStr">
        <is>
          <t>2024</t>
        </is>
      </c>
      <c r="H131" s="13" t="inlineStr">
        <is>
          <t>Prov. Pres. Areca Nuts (whole/split)</t>
        </is>
      </c>
      <c r="I131" s="13" t="inlineStr">
        <is>
          <t>Classification</t>
        </is>
      </c>
      <c r="J131" s="13" t="inlineStr">
        <is>
          <t>inferred</t>
        </is>
      </c>
      <c r="K131" s="13" t="inlineStr">
        <is>
          <t>CAAR/Delhi/R.V. International/105/2024</t>
        </is>
      </c>
      <c r="L131" s="14" t="inlineStr">
        <is>
          <t>https://www.cbic.gov.in/content/pdf/CONTENTREPO/CAAR/caar-delhi-rul-105-26122024.pdf</t>
        </is>
      </c>
      <c r="M131" s="13" t="inlineStr">
        <is>
          <t>YES</t>
        </is>
      </c>
    </row>
    <row r="132">
      <c r="A132" s="13" t="inlineStr">
        <is>
          <t>Delhi Rulings</t>
        </is>
      </c>
      <c r="B132" s="13" t="inlineStr">
        <is>
          <t>13</t>
        </is>
      </c>
      <c r="C132" s="13" t="inlineStr">
        <is>
          <t>128</t>
        </is>
      </c>
      <c r="D132" s="13" t="inlineStr">
        <is>
          <t>Lujee International Company Ltd</t>
        </is>
      </c>
      <c r="E132" s="13" t="inlineStr">
        <is>
          <t>24.09.2024</t>
        </is>
      </c>
      <c r="F132" s="13" t="inlineStr">
        <is>
          <t>20.12.2024</t>
        </is>
      </c>
      <c r="G132" s="13" t="inlineStr">
        <is>
          <t>2024</t>
        </is>
      </c>
      <c r="H132" s="13" t="inlineStr">
        <is>
          <t>Menthol scented supari and flavored coated illaichi</t>
        </is>
      </c>
      <c r="I132" s="13" t="inlineStr">
        <is>
          <t>Classification</t>
        </is>
      </c>
      <c r="J132" s="13" t="inlineStr">
        <is>
          <t>inferred</t>
        </is>
      </c>
      <c r="K132" s="13" t="inlineStr">
        <is>
          <t>CAAR/Delhi/Lujee/104/2024</t>
        </is>
      </c>
      <c r="L132" s="14" t="inlineStr">
        <is>
          <t>https://www.cbic.gov.in/content/pdf/CONTENTREPO/CAAR/caar-delhi-rul-104-26122024.pdf</t>
        </is>
      </c>
      <c r="M132" s="13" t="inlineStr">
        <is>
          <t>YES</t>
        </is>
      </c>
    </row>
    <row r="133">
      <c r="A133" s="13" t="inlineStr">
        <is>
          <t>Delhi Rulings</t>
        </is>
      </c>
      <c r="B133" s="13" t="inlineStr">
        <is>
          <t>13</t>
        </is>
      </c>
      <c r="C133" s="13" t="inlineStr">
        <is>
          <t>129</t>
        </is>
      </c>
      <c r="D133" s="13" t="inlineStr">
        <is>
          <t>Mystique Impex Pvt. Ltd.</t>
        </is>
      </c>
      <c r="E133" s="13" t="inlineStr">
        <is>
          <t>09.09.2024</t>
        </is>
      </c>
      <c r="F133" s="13" t="inlineStr">
        <is>
          <t>20.12.2024</t>
        </is>
      </c>
      <c r="G133" s="13" t="inlineStr">
        <is>
          <t>2024</t>
        </is>
      </c>
      <c r="H133" s="13" t="inlineStr">
        <is>
          <t>Provisionally preserved areca Nuts</t>
        </is>
      </c>
      <c r="I133" s="13" t="inlineStr">
        <is>
          <t>Classification</t>
        </is>
      </c>
      <c r="J133" s="13" t="inlineStr">
        <is>
          <t>inferred</t>
        </is>
      </c>
      <c r="K133" s="13" t="inlineStr">
        <is>
          <t>CAAR/Delhi/Mystique/103/2024</t>
        </is>
      </c>
      <c r="L133" s="14" t="inlineStr">
        <is>
          <t>https://www.cbic.gov.in/content/pdf/CONTENTREPO/CAAR/caar-delhi-rul-103-26122024.pdf</t>
        </is>
      </c>
      <c r="M133" s="13" t="inlineStr">
        <is>
          <t>YES</t>
        </is>
      </c>
    </row>
    <row r="134">
      <c r="A134" s="13" t="inlineStr">
        <is>
          <t>Delhi Rulings</t>
        </is>
      </c>
      <c r="B134" s="13" t="inlineStr">
        <is>
          <t>13</t>
        </is>
      </c>
      <c r="C134" s="13" t="inlineStr">
        <is>
          <t>130</t>
        </is>
      </c>
      <c r="D134" s="13" t="inlineStr">
        <is>
          <t>R V International</t>
        </is>
      </c>
      <c r="E134" s="13" t="inlineStr">
        <is>
          <t>24.09.2024</t>
        </is>
      </c>
      <c r="F134" s="13" t="inlineStr">
        <is>
          <t>20.12.2024</t>
        </is>
      </c>
      <c r="G134" s="13" t="inlineStr">
        <is>
          <t>2024</t>
        </is>
      </c>
      <c r="H134" s="13" t="inlineStr">
        <is>
          <t>Menthol Scented Supari and Flavored and coated Illaichi</t>
        </is>
      </c>
      <c r="I134" s="13" t="inlineStr">
        <is>
          <t>Classification</t>
        </is>
      </c>
      <c r="J134" s="13" t="inlineStr">
        <is>
          <t>inferred</t>
        </is>
      </c>
      <c r="K134" s="13" t="inlineStr">
        <is>
          <t>CAAR/Delhi/R.V. International/102/2024</t>
        </is>
      </c>
      <c r="L134" s="14" t="inlineStr">
        <is>
          <t>https://www.cbic.gov.in/content/pdf/CONTENTREPO/CAAR/caar-delhi-rul-102-26122024.pdf</t>
        </is>
      </c>
      <c r="M134" s="13" t="inlineStr">
        <is>
          <t>YES</t>
        </is>
      </c>
    </row>
    <row r="135">
      <c r="A135" s="13" t="inlineStr">
        <is>
          <t>Delhi Rulings</t>
        </is>
      </c>
      <c r="B135" s="13" t="inlineStr">
        <is>
          <t>14</t>
        </is>
      </c>
      <c r="C135" s="13" t="inlineStr">
        <is>
          <t>131</t>
        </is>
      </c>
      <c r="D135" s="13" t="inlineStr">
        <is>
          <t>Vapa Overseas Pvt Ltd</t>
        </is>
      </c>
      <c r="E135" s="13" t="inlineStr">
        <is>
          <t>24.09.2024</t>
        </is>
      </c>
      <c r="F135" s="13" t="inlineStr">
        <is>
          <t>20.12.2024</t>
        </is>
      </c>
      <c r="G135" s="13" t="inlineStr">
        <is>
          <t>2024</t>
        </is>
      </c>
      <c r="H135" s="13" t="inlineStr">
        <is>
          <t>Menthol Scented Supari and Flavored and coated Illaichi</t>
        </is>
      </c>
      <c r="I135" s="13" t="inlineStr">
        <is>
          <t>Classification</t>
        </is>
      </c>
      <c r="J135" s="13" t="inlineStr">
        <is>
          <t>inferred</t>
        </is>
      </c>
      <c r="K135" s="13" t="inlineStr">
        <is>
          <t>CAAR/Delhi/Vapa Overseas/101/2024</t>
        </is>
      </c>
      <c r="L135" s="14" t="inlineStr">
        <is>
          <t>https://www.cbic.gov.in/content/pdf/CONTENTREPO/CAAR/caar-delhi-rul-101-26122024.pdf</t>
        </is>
      </c>
      <c r="M135" s="13" t="inlineStr">
        <is>
          <t>YES</t>
        </is>
      </c>
    </row>
    <row r="136">
      <c r="A136" s="13" t="inlineStr">
        <is>
          <t>Delhi Rulings</t>
        </is>
      </c>
      <c r="B136" s="13" t="inlineStr">
        <is>
          <t>14</t>
        </is>
      </c>
      <c r="C136" s="13" t="inlineStr">
        <is>
          <t>132</t>
        </is>
      </c>
      <c r="D136" s="13" t="inlineStr">
        <is>
          <t>Plumage Solutions Private Limited</t>
        </is>
      </c>
      <c r="E136" s="13" t="inlineStr">
        <is>
          <t>17.09.2024</t>
        </is>
      </c>
      <c r="F136" s="13" t="inlineStr">
        <is>
          <t>20.12.2024</t>
        </is>
      </c>
      <c r="G136" s="13" t="inlineStr">
        <is>
          <t>2024</t>
        </is>
      </c>
      <c r="H136" s="13" t="inlineStr">
        <is>
          <t>Parts of Interactive Flat Panels</t>
        </is>
      </c>
      <c r="I136" s="13" t="inlineStr">
        <is>
          <t>Classification</t>
        </is>
      </c>
      <c r="J136" s="13" t="inlineStr">
        <is>
          <t>inferred</t>
        </is>
      </c>
      <c r="K136" s="13" t="inlineStr">
        <is>
          <t>CAAR/Delhi/Plumage/100/2024</t>
        </is>
      </c>
      <c r="L136" s="14" t="inlineStr">
        <is>
          <t>https://www.cbic.gov.in/content/pdf/CONTENTREPO/CAAR/caar-delhi-rul-100-26122024.pdf</t>
        </is>
      </c>
      <c r="M136" s="13" t="inlineStr">
        <is>
          <t>YES</t>
        </is>
      </c>
    </row>
    <row r="137">
      <c r="A137" s="13" t="inlineStr">
        <is>
          <t>Delhi Rulings</t>
        </is>
      </c>
      <c r="B137" s="13" t="inlineStr">
        <is>
          <t>14</t>
        </is>
      </c>
      <c r="C137" s="13" t="inlineStr">
        <is>
          <t>133</t>
        </is>
      </c>
      <c r="D137" s="13" t="inlineStr">
        <is>
          <t>M/s Plumage Solutions Pvt Ltd.</t>
        </is>
      </c>
      <c r="E137" s="13" t="inlineStr">
        <is>
          <t>17-09-2024</t>
        </is>
      </c>
      <c r="F137" s="13" t="inlineStr">
        <is>
          <t>18-12-2024</t>
        </is>
      </c>
      <c r="G137" s="13" t="inlineStr">
        <is>
          <t>2024</t>
        </is>
      </c>
      <c r="H137" s="13" t="inlineStr">
        <is>
          <t>Parts of Interactive Flat Panels in SKD form</t>
        </is>
      </c>
      <c r="I137" s="13" t="inlineStr">
        <is>
          <t>Classification</t>
        </is>
      </c>
      <c r="J137" s="13" t="inlineStr">
        <is>
          <t>inferred</t>
        </is>
      </c>
      <c r="K137" s="13" t="inlineStr">
        <is>
          <t>CAAR/Del/Plumage/99/2024</t>
        </is>
      </c>
      <c r="L137" s="14" t="inlineStr">
        <is>
          <t>https://www.cbic.gov.in/content/pdf/CONTENTREPO/CAAR/caar-del-99-Plumage-23122024.pdf</t>
        </is>
      </c>
      <c r="M137" s="13" t="inlineStr">
        <is>
          <t>YES</t>
        </is>
      </c>
    </row>
    <row r="138">
      <c r="A138" s="13" t="inlineStr">
        <is>
          <t>Delhi Rulings</t>
        </is>
      </c>
      <c r="B138" s="13" t="inlineStr">
        <is>
          <t>14</t>
        </is>
      </c>
      <c r="C138" s="13" t="inlineStr">
        <is>
          <t>134</t>
        </is>
      </c>
      <c r="D138" s="13" t="inlineStr">
        <is>
          <t>M/s Plumage Solutions Pvt Ltd.</t>
        </is>
      </c>
      <c r="E138" s="13" t="inlineStr">
        <is>
          <t>17-09-2024</t>
        </is>
      </c>
      <c r="F138" s="13" t="inlineStr">
        <is>
          <t>17-12-2024</t>
        </is>
      </c>
      <c r="G138" s="13" t="inlineStr">
        <is>
          <t>2024</t>
        </is>
      </c>
      <c r="H138" s="13" t="inlineStr">
        <is>
          <t>Parts of Interactive Flat Panels in SKD form</t>
        </is>
      </c>
      <c r="I138" s="13" t="inlineStr">
        <is>
          <t>Classification</t>
        </is>
      </c>
      <c r="J138" s="13" t="inlineStr">
        <is>
          <t>inferred</t>
        </is>
      </c>
      <c r="K138" s="13" t="inlineStr">
        <is>
          <t>CAAR/Del/Plumage/98/2024</t>
        </is>
      </c>
      <c r="L138" s="14" t="inlineStr">
        <is>
          <t>https://www.cbic.gov.in/content/pdf/CONTENTREPO/CAAR/caar-del-98-Plumage-23122024.pdf</t>
        </is>
      </c>
      <c r="M138" s="13" t="inlineStr">
        <is>
          <t>YES</t>
        </is>
      </c>
    </row>
    <row r="139">
      <c r="A139" s="13" t="inlineStr">
        <is>
          <t>Delhi Rulings</t>
        </is>
      </c>
      <c r="B139" s="13" t="inlineStr">
        <is>
          <t>14</t>
        </is>
      </c>
      <c r="C139" s="13" t="inlineStr">
        <is>
          <t>135</t>
        </is>
      </c>
      <c r="D139" s="13" t="inlineStr">
        <is>
          <t>M/s Danisco India Pvt. Ltd</t>
        </is>
      </c>
      <c r="E139" s="13" t="inlineStr">
        <is>
          <t>24.09.2024</t>
        </is>
      </c>
      <c r="F139" s="13" t="inlineStr">
        <is>
          <t>11.12.2024</t>
        </is>
      </c>
      <c r="G139" s="13" t="inlineStr">
        <is>
          <t>2024</t>
        </is>
      </c>
      <c r="H139" s="13" t="inlineStr">
        <is>
          <t>Dimodan OU-M and Grindsted PS 222MD, Grindsted PS 421</t>
        </is>
      </c>
      <c r="I139" s="13" t="inlineStr">
        <is>
          <t>Classification</t>
        </is>
      </c>
      <c r="J139" s="13" t="inlineStr">
        <is>
          <t>inferred</t>
        </is>
      </c>
      <c r="K139" s="13" t="inlineStr">
        <is>
          <t>Corrigendum</t>
        </is>
      </c>
      <c r="L139" s="14" t="inlineStr">
        <is>
          <t>https://www.cbic.gov.in/content/pdf/CONTENTREPO/CAAR/corr-car-del-dans-02012025.pdf</t>
        </is>
      </c>
      <c r="M139" s="13" t="inlineStr">
        <is>
          <t>YES</t>
        </is>
      </c>
    </row>
    <row r="140">
      <c r="A140" s="13" t="inlineStr">
        <is>
          <t>Delhi Rulings</t>
        </is>
      </c>
      <c r="B140" s="13" t="inlineStr">
        <is>
          <t>14</t>
        </is>
      </c>
      <c r="C140" s="13" t="inlineStr">
        <is>
          <t>136</t>
        </is>
      </c>
      <c r="D140" s="13" t="inlineStr">
        <is>
          <t>M/s Lujee International Company Ltd</t>
        </is>
      </c>
      <c r="E140" s="13" t="inlineStr">
        <is>
          <t>24.09.2024</t>
        </is>
      </c>
      <c r="F140" s="13" t="inlineStr">
        <is>
          <t>11.12.2024</t>
        </is>
      </c>
      <c r="G140" s="13" t="inlineStr">
        <is>
          <t>2024</t>
        </is>
      </c>
      <c r="H140" s="13" t="inlineStr">
        <is>
          <t>provisionally Areca nuts (whole) and provisionally preserved Areca Nut( split)</t>
        </is>
      </c>
      <c r="I140" s="13" t="inlineStr">
        <is>
          <t>Classification</t>
        </is>
      </c>
      <c r="J140" s="13" t="inlineStr">
        <is>
          <t>inferred</t>
        </is>
      </c>
      <c r="K140" s="13" t="inlineStr">
        <is>
          <t>CAAR/Del/Lujee/95/2024</t>
        </is>
      </c>
      <c r="L140" s="14" t="inlineStr">
        <is>
          <t>https://www.cbic.gov.in/content/pdf/CONTENTREPO/CAAR/Lujee95_13122024.pdf</t>
        </is>
      </c>
      <c r="M140" s="13" t="inlineStr">
        <is>
          <t>YES</t>
        </is>
      </c>
    </row>
    <row r="141">
      <c r="A141" s="13" t="inlineStr">
        <is>
          <t>Delhi Rulings</t>
        </is>
      </c>
      <c r="B141" s="13" t="inlineStr">
        <is>
          <t>14</t>
        </is>
      </c>
      <c r="C141" s="13" t="inlineStr">
        <is>
          <t>137</t>
        </is>
      </c>
      <c r="D141" s="13" t="inlineStr">
        <is>
          <t>M/s Amazon Wholesale India Pvt Ltd</t>
        </is>
      </c>
      <c r="E141" s="13" t="inlineStr">
        <is>
          <t>23.08.2024</t>
        </is>
      </c>
      <c r="F141" s="13" t="inlineStr">
        <is>
          <t>10.12.2024</t>
        </is>
      </c>
      <c r="G141" s="13" t="inlineStr">
        <is>
          <t>2024</t>
        </is>
      </c>
      <c r="H141" s="13" t="inlineStr">
        <is>
          <t>Echo spot model no BV84J9</t>
        </is>
      </c>
      <c r="I141" s="13" t="inlineStr">
        <is>
          <t>Classification</t>
        </is>
      </c>
      <c r="J141" s="13" t="inlineStr">
        <is>
          <t>inferred</t>
        </is>
      </c>
      <c r="K141" s="13" t="inlineStr">
        <is>
          <t>CAAR/Del/Amazon/94/2024</t>
        </is>
      </c>
      <c r="L141" s="13" t="inlineStr"/>
      <c r="M141" s="13" t="inlineStr">
        <is>
          <t>NO</t>
        </is>
      </c>
    </row>
    <row r="142">
      <c r="A142" s="13" t="inlineStr">
        <is>
          <t>Delhi Rulings</t>
        </is>
      </c>
      <c r="B142" s="13" t="inlineStr">
        <is>
          <t>14</t>
        </is>
      </c>
      <c r="C142" s="13" t="inlineStr">
        <is>
          <t>138</t>
        </is>
      </c>
      <c r="D142" s="13" t="inlineStr">
        <is>
          <t>M/s Winone Precision Technology India Pvt Ltd</t>
        </is>
      </c>
      <c r="E142" s="13" t="inlineStr">
        <is>
          <t>05.09.2024</t>
        </is>
      </c>
      <c r="F142" s="13" t="inlineStr">
        <is>
          <t>11.12.2024</t>
        </is>
      </c>
      <c r="G142" s="13" t="inlineStr">
        <is>
          <t>2024</t>
        </is>
      </c>
      <c r="H142" s="13" t="inlineStr">
        <is>
          <t>Inputs/parts of use in manufacture of mobile phone covers which get subsequently scrapped</t>
        </is>
      </c>
      <c r="I142" s="13" t="inlineStr">
        <is>
          <t>Classification</t>
        </is>
      </c>
      <c r="J142" s="13" t="inlineStr">
        <is>
          <t>inferred</t>
        </is>
      </c>
      <c r="K142" s="13" t="inlineStr">
        <is>
          <t>CAAR/Del/Winone Precision/97/2024</t>
        </is>
      </c>
      <c r="L142" s="14" t="inlineStr">
        <is>
          <t>https://www.cbic.gov.in/content/pdf/CONTENTREPO/CAAR/Winone_13122024.pdf</t>
        </is>
      </c>
      <c r="M142" s="13" t="inlineStr">
        <is>
          <t>YES</t>
        </is>
      </c>
    </row>
    <row r="143">
      <c r="A143" s="13" t="inlineStr">
        <is>
          <t>Delhi Rulings</t>
        </is>
      </c>
      <c r="B143" s="13" t="inlineStr">
        <is>
          <t>14</t>
        </is>
      </c>
      <c r="C143" s="13" t="inlineStr">
        <is>
          <t>139</t>
        </is>
      </c>
      <c r="D143" s="13" t="inlineStr">
        <is>
          <t>Oppo Mobiles India Pvt. Ltd</t>
        </is>
      </c>
      <c r="E143" s="13" t="inlineStr">
        <is>
          <t>12.08.2024</t>
        </is>
      </c>
      <c r="F143" s="13" t="inlineStr">
        <is>
          <t>06.12.2024</t>
        </is>
      </c>
      <c r="G143" s="13" t="inlineStr">
        <is>
          <t>2024</t>
        </is>
      </c>
      <c r="H143" s="13" t="inlineStr">
        <is>
          <t>Vibration Motors (ERM Motors &amp; LRA Motors) used in manufacturing of Mobile Phones</t>
        </is>
      </c>
      <c r="I143" s="13" t="inlineStr">
        <is>
          <t>Classification</t>
        </is>
      </c>
      <c r="J143" s="13" t="inlineStr">
        <is>
          <t>inferred</t>
        </is>
      </c>
      <c r="K143" s="13" t="inlineStr">
        <is>
          <t>CAAR/Del/Oppo/93/2024</t>
        </is>
      </c>
      <c r="L143" s="14" t="inlineStr">
        <is>
          <t>https://www.cbic.gov.in/content/pdf/CONTENTREPO/CAAR/caar-oppo-mobiles-india-10122024.pdf</t>
        </is>
      </c>
      <c r="M143" s="13" t="inlineStr">
        <is>
          <t>YES</t>
        </is>
      </c>
    </row>
    <row r="144">
      <c r="A144" s="13" t="inlineStr">
        <is>
          <t>Delhi Rulings</t>
        </is>
      </c>
      <c r="B144" s="13" t="inlineStr">
        <is>
          <t>14</t>
        </is>
      </c>
      <c r="C144" s="13" t="inlineStr">
        <is>
          <t>140</t>
        </is>
      </c>
      <c r="D144" s="13" t="inlineStr">
        <is>
          <t>Star Enterprises</t>
        </is>
      </c>
      <c r="E144" s="13" t="inlineStr">
        <is>
          <t>03.10.2024</t>
        </is>
      </c>
      <c r="F144" s="13" t="inlineStr">
        <is>
          <t>05.12.2024</t>
        </is>
      </c>
      <c r="G144" s="13" t="inlineStr">
        <is>
          <t>2024</t>
        </is>
      </c>
      <c r="H144" s="13" t="inlineStr">
        <is>
          <t>Roasted areca nuts (whole, cut, split)</t>
        </is>
      </c>
      <c r="I144" s="13" t="inlineStr">
        <is>
          <t>Classification</t>
        </is>
      </c>
      <c r="J144" s="13" t="inlineStr">
        <is>
          <t>inferred</t>
        </is>
      </c>
      <c r="K144" s="13" t="inlineStr">
        <is>
          <t>CAAR/Del/Star/92/2024</t>
        </is>
      </c>
      <c r="L144" s="14" t="inlineStr">
        <is>
          <t>https://www.cbic.gov.in/content/pdf/CONTENTREPO/CAAR/star92_09122024.pdf</t>
        </is>
      </c>
      <c r="M144" s="13" t="inlineStr">
        <is>
          <t>YES</t>
        </is>
      </c>
    </row>
    <row r="145">
      <c r="A145" s="13" t="inlineStr">
        <is>
          <t>Delhi Rulings</t>
        </is>
      </c>
      <c r="B145" s="13" t="inlineStr">
        <is>
          <t>15</t>
        </is>
      </c>
      <c r="C145" s="13" t="inlineStr">
        <is>
          <t>141</t>
        </is>
      </c>
      <c r="D145" s="13" t="inlineStr">
        <is>
          <t>N.K. International</t>
        </is>
      </c>
      <c r="E145" s="13" t="inlineStr">
        <is>
          <t>15.10.2024</t>
        </is>
      </c>
      <c r="F145" s="13" t="inlineStr">
        <is>
          <t>05.12.2024</t>
        </is>
      </c>
      <c r="G145" s="13" t="inlineStr">
        <is>
          <t>2024</t>
        </is>
      </c>
      <c r="H145" s="13" t="inlineStr">
        <is>
          <t>Roasted areca nuts (whole, cut, split)</t>
        </is>
      </c>
      <c r="I145" s="13" t="inlineStr">
        <is>
          <t>Classification</t>
        </is>
      </c>
      <c r="J145" s="13" t="inlineStr">
        <is>
          <t>inferred</t>
        </is>
      </c>
      <c r="K145" s="13" t="inlineStr">
        <is>
          <t>CAAR/Del/N.K./90/2024</t>
        </is>
      </c>
      <c r="L145" s="14" t="inlineStr">
        <is>
          <t>https://www.cbic.gov.in/content/pdf/CONTENTREPO/CAAR/nk90_09122024.pdf</t>
        </is>
      </c>
      <c r="M145" s="13" t="inlineStr">
        <is>
          <t>YES</t>
        </is>
      </c>
    </row>
    <row r="146">
      <c r="A146" s="13" t="inlineStr">
        <is>
          <t>Delhi Rulings</t>
        </is>
      </c>
      <c r="B146" s="13" t="inlineStr">
        <is>
          <t>15</t>
        </is>
      </c>
      <c r="C146" s="13" t="inlineStr">
        <is>
          <t>142</t>
        </is>
      </c>
      <c r="D146" s="13" t="inlineStr">
        <is>
          <t>shri ram overseas</t>
        </is>
      </c>
      <c r="E146" s="13" t="inlineStr">
        <is>
          <t>16.10.2024</t>
        </is>
      </c>
      <c r="F146" s="13" t="inlineStr">
        <is>
          <t>05.12.2024</t>
        </is>
      </c>
      <c r="G146" s="13" t="inlineStr">
        <is>
          <t>2024</t>
        </is>
      </c>
      <c r="H146" s="13" t="inlineStr">
        <is>
          <t>Roasted areca nuts (whole, cut, split)</t>
        </is>
      </c>
      <c r="I146" s="13" t="inlineStr">
        <is>
          <t>Classification</t>
        </is>
      </c>
      <c r="J146" s="13" t="inlineStr">
        <is>
          <t>inferred</t>
        </is>
      </c>
      <c r="K146" s="13" t="inlineStr">
        <is>
          <t>CAAR/Del/Shri Ram/91/2024</t>
        </is>
      </c>
      <c r="L146" s="14" t="inlineStr">
        <is>
          <t>https://www.cbic.gov.in/content/pdf/CONTENTREPO/CAAR/shri91_09122024.pdf</t>
        </is>
      </c>
      <c r="M146" s="13" t="inlineStr">
        <is>
          <t>YES</t>
        </is>
      </c>
    </row>
    <row r="147">
      <c r="A147" s="13" t="inlineStr">
        <is>
          <t>Delhi Rulings</t>
        </is>
      </c>
      <c r="B147" s="13" t="inlineStr">
        <is>
          <t>15</t>
        </is>
      </c>
      <c r="C147" s="13" t="inlineStr">
        <is>
          <t>143</t>
        </is>
      </c>
      <c r="D147" s="13" t="inlineStr">
        <is>
          <t>Canon India Pvt. Ltd.</t>
        </is>
      </c>
      <c r="E147" s="13" t="inlineStr">
        <is>
          <t>23.08.2024</t>
        </is>
      </c>
      <c r="F147" s="13" t="inlineStr">
        <is>
          <t>28.11.2024</t>
        </is>
      </c>
      <c r="G147" s="13" t="inlineStr">
        <is>
          <t>2024</t>
        </is>
      </c>
      <c r="H147" s="13" t="inlineStr">
        <is>
          <t>Cannon Camera K496(DS126922) and Camera Model No. Canon digital Camera K495(DS126928)</t>
        </is>
      </c>
      <c r="I147" s="13" t="inlineStr">
        <is>
          <t>Classification</t>
        </is>
      </c>
      <c r="J147" s="13" t="inlineStr">
        <is>
          <t>inferred</t>
        </is>
      </c>
      <c r="K147" s="13" t="inlineStr"/>
      <c r="L147" s="13" t="inlineStr"/>
      <c r="M147" s="13" t="inlineStr">
        <is>
          <t>NO</t>
        </is>
      </c>
    </row>
    <row r="148">
      <c r="A148" s="13" t="inlineStr">
        <is>
          <t>Delhi Rulings</t>
        </is>
      </c>
      <c r="B148" s="13" t="inlineStr">
        <is>
          <t>15</t>
        </is>
      </c>
      <c r="C148" s="13" t="inlineStr">
        <is>
          <t>144</t>
        </is>
      </c>
      <c r="D148" s="13" t="inlineStr">
        <is>
          <t>Winone Precision Technology India Pvt Ltd</t>
        </is>
      </c>
      <c r="E148" s="13" t="inlineStr">
        <is>
          <t>05.09.2024</t>
        </is>
      </c>
      <c r="F148" s="13" t="inlineStr">
        <is>
          <t>28.11.2024</t>
        </is>
      </c>
      <c r="G148" s="13" t="inlineStr">
        <is>
          <t>2024</t>
        </is>
      </c>
      <c r="H148" s="13" t="inlineStr">
        <is>
          <t>Inputs/parts of use in manufacture of mobile phone covers which get subsequently scrapped</t>
        </is>
      </c>
      <c r="I148" s="13" t="inlineStr">
        <is>
          <t>Classification</t>
        </is>
      </c>
      <c r="J148" s="13" t="inlineStr">
        <is>
          <t>inferred</t>
        </is>
      </c>
      <c r="K148" s="13" t="inlineStr">
        <is>
          <t>CAAR/Del/Winone Precision/89/2024</t>
        </is>
      </c>
      <c r="L148" s="14" t="inlineStr">
        <is>
          <t>https://www.cbic.gov.in/content/pdf/CONTENTREPO/CAAR/CAAR-Del-Winone-Precision-89-2024.pdf</t>
        </is>
      </c>
      <c r="M148" s="13" t="inlineStr">
        <is>
          <t>YES</t>
        </is>
      </c>
    </row>
    <row r="149">
      <c r="A149" s="13" t="inlineStr">
        <is>
          <t>Delhi Rulings</t>
        </is>
      </c>
      <c r="B149" s="13" t="inlineStr">
        <is>
          <t>15</t>
        </is>
      </c>
      <c r="C149" s="13" t="inlineStr">
        <is>
          <t>145</t>
        </is>
      </c>
      <c r="D149" s="13" t="inlineStr">
        <is>
          <t>Lujee International Company Ltd</t>
        </is>
      </c>
      <c r="E149" s="13" t="inlineStr">
        <is>
          <t>30.08.2024</t>
        </is>
      </c>
      <c r="F149" s="13" t="inlineStr">
        <is>
          <t>21.11.2024</t>
        </is>
      </c>
      <c r="G149" s="13" t="inlineStr">
        <is>
          <t>2024</t>
        </is>
      </c>
      <c r="H149" s="13" t="inlineStr">
        <is>
          <t>Roasted areca nuts (whole, cut, split)</t>
        </is>
      </c>
      <c r="I149" s="13" t="inlineStr">
        <is>
          <t>Classification</t>
        </is>
      </c>
      <c r="J149" s="13" t="inlineStr">
        <is>
          <t>inferred</t>
        </is>
      </c>
      <c r="K149" s="13" t="inlineStr">
        <is>
          <t>CAAR/Delhi/Lujee/87/2024</t>
        </is>
      </c>
      <c r="L149" s="14" t="inlineStr">
        <is>
          <t>https://www.cbic.gov.in/content/pdf/CONTENTREPO/CAAR/Lujee_87_24092024.pdf</t>
        </is>
      </c>
      <c r="M149" s="13" t="inlineStr">
        <is>
          <t>YES</t>
        </is>
      </c>
    </row>
    <row r="150">
      <c r="A150" s="13" t="inlineStr">
        <is>
          <t>Delhi Rulings</t>
        </is>
      </c>
      <c r="B150" s="13" t="inlineStr">
        <is>
          <t>15</t>
        </is>
      </c>
      <c r="C150" s="13" t="inlineStr">
        <is>
          <t>146</t>
        </is>
      </c>
      <c r="D150" s="13" t="inlineStr">
        <is>
          <t>N.K. International</t>
        </is>
      </c>
      <c r="E150" s="13" t="inlineStr">
        <is>
          <t>15.10.2024</t>
        </is>
      </c>
      <c r="F150" s="13" t="inlineStr">
        <is>
          <t>21.11.2024</t>
        </is>
      </c>
      <c r="G150" s="13" t="inlineStr">
        <is>
          <t>2024</t>
        </is>
      </c>
      <c r="H150" s="13" t="inlineStr">
        <is>
          <t>Roasted areca nuts (whole, cut, split)</t>
        </is>
      </c>
      <c r="I150" s="13" t="inlineStr">
        <is>
          <t>Classification</t>
        </is>
      </c>
      <c r="J150" s="13" t="inlineStr">
        <is>
          <t>inferred</t>
        </is>
      </c>
      <c r="K150" s="13" t="inlineStr">
        <is>
          <t>CAAR/Del/N.K./86/2024</t>
        </is>
      </c>
      <c r="L150" s="14" t="inlineStr">
        <is>
          <t>https://www.cbic.gov.in/content/pdf/CONTENTREPO/CAAR/nk_86_24092024.pdf</t>
        </is>
      </c>
      <c r="M150" s="13" t="inlineStr">
        <is>
          <t>YES</t>
        </is>
      </c>
    </row>
    <row r="151">
      <c r="A151" s="13" t="inlineStr">
        <is>
          <t>Delhi Rulings</t>
        </is>
      </c>
      <c r="B151" s="13" t="inlineStr">
        <is>
          <t>15</t>
        </is>
      </c>
      <c r="C151" s="13" t="inlineStr">
        <is>
          <t>147</t>
        </is>
      </c>
      <c r="D151" s="13" t="inlineStr">
        <is>
          <t>Lujee International Company Ltd</t>
        </is>
      </c>
      <c r="E151" s="13" t="inlineStr">
        <is>
          <t>24.09.2024</t>
        </is>
      </c>
      <c r="F151" s="13" t="inlineStr">
        <is>
          <t>21.11.2024</t>
        </is>
      </c>
      <c r="G151" s="13" t="inlineStr">
        <is>
          <t>2024</t>
        </is>
      </c>
      <c r="H151" s="13" t="inlineStr">
        <is>
          <t>provisionally Areca nuts (whole) and provisionally preserved Areca Nut( split)</t>
        </is>
      </c>
      <c r="I151" s="13" t="inlineStr">
        <is>
          <t>Classification</t>
        </is>
      </c>
      <c r="J151" s="13" t="inlineStr">
        <is>
          <t>inferred</t>
        </is>
      </c>
      <c r="K151" s="13" t="inlineStr">
        <is>
          <t>CAAR/Delhi/Lujee/85/2024</t>
        </is>
      </c>
      <c r="L151" s="14" t="inlineStr">
        <is>
          <t>https://www.cbic.gov.in/content/pdf/CONTENTREPO/CAAR/Lujee2_24092024.pdf</t>
        </is>
      </c>
      <c r="M151" s="13" t="inlineStr">
        <is>
          <t>YES</t>
        </is>
      </c>
    </row>
    <row r="152">
      <c r="A152" s="13" t="inlineStr">
        <is>
          <t>Delhi Rulings</t>
        </is>
      </c>
      <c r="B152" s="13" t="inlineStr">
        <is>
          <t>15</t>
        </is>
      </c>
      <c r="C152" s="13" t="inlineStr">
        <is>
          <t>148</t>
        </is>
      </c>
      <c r="D152" s="13" t="inlineStr">
        <is>
          <t>Lujee International Company Ltd</t>
        </is>
      </c>
      <c r="E152" s="13" t="inlineStr">
        <is>
          <t>24.09.2024</t>
        </is>
      </c>
      <c r="F152" s="13" t="inlineStr">
        <is>
          <t>21.11.2024</t>
        </is>
      </c>
      <c r="G152" s="13" t="inlineStr">
        <is>
          <t>2024</t>
        </is>
      </c>
      <c r="H152" s="13" t="inlineStr">
        <is>
          <t>provisionally Areca nuts (whole) and provisionally preserved Areca Nut( split)</t>
        </is>
      </c>
      <c r="I152" s="13" t="inlineStr">
        <is>
          <t>Classification</t>
        </is>
      </c>
      <c r="J152" s="13" t="inlineStr">
        <is>
          <t>inferred</t>
        </is>
      </c>
      <c r="K152" s="13" t="inlineStr">
        <is>
          <t>CAAR/Delhi/Lujee/84/2024</t>
        </is>
      </c>
      <c r="L152" s="14" t="inlineStr">
        <is>
          <t>https://www.cbic.gov.in/content/pdf/CONTENTREPO/CAAR/Lujee1_24092024.pdf</t>
        </is>
      </c>
      <c r="M152" s="13" t="inlineStr">
        <is>
          <t>YES</t>
        </is>
      </c>
    </row>
    <row r="153">
      <c r="A153" s="13" t="inlineStr">
        <is>
          <t>Delhi Rulings</t>
        </is>
      </c>
      <c r="B153" s="13" t="inlineStr">
        <is>
          <t>15</t>
        </is>
      </c>
      <c r="C153" s="13" t="inlineStr">
        <is>
          <t>149</t>
        </is>
      </c>
      <c r="D153" s="13" t="inlineStr">
        <is>
          <t>Lujee International Company Ltd</t>
        </is>
      </c>
      <c r="E153" s="13" t="inlineStr">
        <is>
          <t>30.08.2024</t>
        </is>
      </c>
      <c r="F153" s="13" t="inlineStr">
        <is>
          <t>21.11.2024</t>
        </is>
      </c>
      <c r="G153" s="13" t="inlineStr">
        <is>
          <t>2024</t>
        </is>
      </c>
      <c r="H153" s="13" t="inlineStr">
        <is>
          <t>Roasted areca nuts (whole, cut, split)</t>
        </is>
      </c>
      <c r="I153" s="13" t="inlineStr">
        <is>
          <t>Classification</t>
        </is>
      </c>
      <c r="J153" s="13" t="inlineStr">
        <is>
          <t>inferred</t>
        </is>
      </c>
      <c r="K153" s="13" t="inlineStr">
        <is>
          <t>CAAR/Delhi/Lujee/84/2024</t>
        </is>
      </c>
      <c r="L153" s="14" t="inlineStr">
        <is>
          <t>https://www.cbic.gov.in/content/pdf/CONTENTREPO/CAAR/Lujee_ruling_22112024.pdf</t>
        </is>
      </c>
      <c r="M153" s="13" t="inlineStr">
        <is>
          <t>YES</t>
        </is>
      </c>
    </row>
    <row r="154">
      <c r="A154" s="13" t="inlineStr">
        <is>
          <t>Delhi Rulings</t>
        </is>
      </c>
      <c r="B154" s="13" t="inlineStr">
        <is>
          <t>15</t>
        </is>
      </c>
      <c r="C154" s="13" t="inlineStr">
        <is>
          <t>150</t>
        </is>
      </c>
      <c r="D154" s="13" t="inlineStr">
        <is>
          <t>Sunwoda Electronic India Pvt. Ltd.</t>
        </is>
      </c>
      <c r="E154" s="13" t="inlineStr">
        <is>
          <t>28.08.2024</t>
        </is>
      </c>
      <c r="F154" s="13" t="inlineStr">
        <is>
          <t>20.11.2024</t>
        </is>
      </c>
      <c r="G154" s="13" t="inlineStr">
        <is>
          <t>2024</t>
        </is>
      </c>
      <c r="H154" s="13" t="inlineStr">
        <is>
          <t>Lithium ion cells &amp; Inputs/parts used in manufacturing of Battery pack of cellular mobile phones</t>
        </is>
      </c>
      <c r="I154" s="13" t="inlineStr">
        <is>
          <t>Classification</t>
        </is>
      </c>
      <c r="J154" s="13" t="inlineStr">
        <is>
          <t>inferred</t>
        </is>
      </c>
      <c r="K154" s="13" t="inlineStr">
        <is>
          <t>CAAR/Delhi/Sunwoda/83/2024</t>
        </is>
      </c>
      <c r="L154" s="14" t="inlineStr">
        <is>
          <t>https://www.cbic.gov.in/content/pdf/CONTENTREPO/CAAR/caar-rul-delhi-83-21112024.pdf</t>
        </is>
      </c>
      <c r="M154" s="13" t="inlineStr">
        <is>
          <t>YES</t>
        </is>
      </c>
    </row>
    <row r="155">
      <c r="A155" s="13" t="inlineStr">
        <is>
          <t>Delhi Rulings</t>
        </is>
      </c>
      <c r="B155" s="13" t="inlineStr">
        <is>
          <t>16</t>
        </is>
      </c>
      <c r="C155" s="13" t="inlineStr">
        <is>
          <t>151</t>
        </is>
      </c>
      <c r="D155" s="13" t="inlineStr">
        <is>
          <t>Sunwoda Electronic India Pvt. Ltd.</t>
        </is>
      </c>
      <c r="E155" s="13" t="inlineStr">
        <is>
          <t>28.08.2024</t>
        </is>
      </c>
      <c r="F155" s="13" t="inlineStr">
        <is>
          <t>20.11.2024</t>
        </is>
      </c>
      <c r="G155" s="13" t="inlineStr">
        <is>
          <t>2024</t>
        </is>
      </c>
      <c r="H155" s="13" t="inlineStr">
        <is>
          <t>Lithium ion cells &amp; Inputs/parts used in manufacturing of Battery pack of cellular mobile phones</t>
        </is>
      </c>
      <c r="I155" s="13" t="inlineStr">
        <is>
          <t>Classification</t>
        </is>
      </c>
      <c r="J155" s="13" t="inlineStr">
        <is>
          <t>inferred</t>
        </is>
      </c>
      <c r="K155" s="13" t="inlineStr">
        <is>
          <t>CAAR/Delhi/Sunwoda/82/2024</t>
        </is>
      </c>
      <c r="L155" s="14" t="inlineStr">
        <is>
          <t>https://www.cbic.gov.in/content/pdf/CONTENTREPO/CAAR/caar-rul-delhi-82-21112024.pdf</t>
        </is>
      </c>
      <c r="M155" s="13" t="inlineStr">
        <is>
          <t>YES</t>
        </is>
      </c>
    </row>
    <row r="156">
      <c r="A156" s="13" t="inlineStr">
        <is>
          <t>Delhi Rulings</t>
        </is>
      </c>
      <c r="B156" s="13" t="inlineStr">
        <is>
          <t>16</t>
        </is>
      </c>
      <c r="C156" s="13" t="inlineStr">
        <is>
          <t>152</t>
        </is>
      </c>
      <c r="D156" s="13" t="inlineStr">
        <is>
          <t>Sunwoda Electronic India Pvt. Ltd.</t>
        </is>
      </c>
      <c r="E156" s="13" t="inlineStr">
        <is>
          <t>28.08.2024</t>
        </is>
      </c>
      <c r="F156" s="13" t="inlineStr">
        <is>
          <t>20.11.2024</t>
        </is>
      </c>
      <c r="G156" s="13" t="inlineStr">
        <is>
          <t>2024</t>
        </is>
      </c>
      <c r="H156" s="13" t="inlineStr">
        <is>
          <t>Lithium ion cells &amp; Inputs/parts used in manufacturing of Battery pack of cellular mobile phones</t>
        </is>
      </c>
      <c r="I156" s="13" t="inlineStr">
        <is>
          <t>Classification</t>
        </is>
      </c>
      <c r="J156" s="13" t="inlineStr">
        <is>
          <t>inferred</t>
        </is>
      </c>
      <c r="K156" s="13" t="inlineStr">
        <is>
          <t>CAAR/Delhi/Sunwoda/81/2024</t>
        </is>
      </c>
      <c r="L156" s="14" t="inlineStr">
        <is>
          <t>https://www.cbic.gov.in/content/pdf/CONTENTREPO/CAAR/caar-rul-delhi-81-21112024.pdf</t>
        </is>
      </c>
      <c r="M156" s="13" t="inlineStr">
        <is>
          <t>YES</t>
        </is>
      </c>
    </row>
    <row r="157">
      <c r="A157" s="13" t="inlineStr">
        <is>
          <t>Delhi Rulings</t>
        </is>
      </c>
      <c r="B157" s="13" t="inlineStr">
        <is>
          <t>16</t>
        </is>
      </c>
      <c r="C157" s="13" t="inlineStr">
        <is>
          <t>153</t>
        </is>
      </c>
      <c r="D157" s="13" t="inlineStr">
        <is>
          <t>M/s Betel Nuts Suppliers LLP</t>
        </is>
      </c>
      <c r="E157" s="13" t="inlineStr">
        <is>
          <t>23.09.2024</t>
        </is>
      </c>
      <c r="F157" s="13" t="inlineStr">
        <is>
          <t>01.11.2024</t>
        </is>
      </c>
      <c r="G157" s="13" t="inlineStr">
        <is>
          <t>2024</t>
        </is>
      </c>
      <c r="H157" s="13" t="inlineStr">
        <is>
          <t>Classification of goods</t>
        </is>
      </c>
      <c r="I157" s="13" t="inlineStr">
        <is>
          <t>Classification</t>
        </is>
      </c>
      <c r="J157" s="13" t="inlineStr">
        <is>
          <t>explicit</t>
        </is>
      </c>
      <c r="K157" s="13" t="inlineStr">
        <is>
          <t>CAAR/Del/Betelnut/80/2024</t>
        </is>
      </c>
      <c r="L157" s="14" t="inlineStr">
        <is>
          <t>https://www.cbic.gov.in/content/pdf/CONTENTREPO/CAAR/caar-rul-delhi-80-05112024.pdf</t>
        </is>
      </c>
      <c r="M157" s="13" t="inlineStr">
        <is>
          <t>YES</t>
        </is>
      </c>
    </row>
    <row r="158">
      <c r="A158" s="13" t="inlineStr">
        <is>
          <t>Delhi Rulings</t>
        </is>
      </c>
      <c r="B158" s="13" t="inlineStr">
        <is>
          <t>16</t>
        </is>
      </c>
      <c r="C158" s="13" t="inlineStr">
        <is>
          <t>154</t>
        </is>
      </c>
      <c r="D158" s="13" t="inlineStr">
        <is>
          <t>M/s Betel Nuts Suppliers LLP</t>
        </is>
      </c>
      <c r="E158" s="13" t="inlineStr">
        <is>
          <t>23.09.2024</t>
        </is>
      </c>
      <c r="F158" s="13" t="inlineStr">
        <is>
          <t>01.11.2024</t>
        </is>
      </c>
      <c r="G158" s="13" t="inlineStr">
        <is>
          <t>2024</t>
        </is>
      </c>
      <c r="H158" s="13" t="inlineStr">
        <is>
          <t>Classification of goods</t>
        </is>
      </c>
      <c r="I158" s="13" t="inlineStr">
        <is>
          <t>Classification</t>
        </is>
      </c>
      <c r="J158" s="13" t="inlineStr">
        <is>
          <t>explicit</t>
        </is>
      </c>
      <c r="K158" s="13" t="inlineStr">
        <is>
          <t>CAAR/Del/Betelnut/79/2024</t>
        </is>
      </c>
      <c r="L158" s="14" t="inlineStr">
        <is>
          <t>https://www.cbic.gov.in/content/pdf/CONTENTREPO/CAAR/caar-rul-delhi-79-05112024.pdf</t>
        </is>
      </c>
      <c r="M158" s="13" t="inlineStr">
        <is>
          <t>YES</t>
        </is>
      </c>
    </row>
    <row r="159">
      <c r="A159" s="13" t="inlineStr">
        <is>
          <t>Delhi Rulings</t>
        </is>
      </c>
      <c r="B159" s="13" t="inlineStr">
        <is>
          <t>16</t>
        </is>
      </c>
      <c r="C159" s="13" t="inlineStr">
        <is>
          <t>155</t>
        </is>
      </c>
      <c r="D159" s="13" t="inlineStr">
        <is>
          <t>M/s Lujee International Company Ltd</t>
        </is>
      </c>
      <c r="E159" s="13" t="inlineStr">
        <is>
          <t>24.09.2024</t>
        </is>
      </c>
      <c r="F159" s="13" t="inlineStr">
        <is>
          <t>01.11.2024</t>
        </is>
      </c>
      <c r="G159" s="13" t="inlineStr">
        <is>
          <t>2024</t>
        </is>
      </c>
      <c r="H159" s="13" t="inlineStr">
        <is>
          <t>Classification of goods</t>
        </is>
      </c>
      <c r="I159" s="13" t="inlineStr">
        <is>
          <t>Classification</t>
        </is>
      </c>
      <c r="J159" s="13" t="inlineStr">
        <is>
          <t>explicit</t>
        </is>
      </c>
      <c r="K159" s="13" t="inlineStr">
        <is>
          <t>CAAR/Del/Lujee/78/2024</t>
        </is>
      </c>
      <c r="L159" s="14" t="inlineStr">
        <is>
          <t>https://www.cbic.gov.in/content/pdf/CONTENTREPO/CAAR/caar-rul-delhi-78-05112024.pdf</t>
        </is>
      </c>
      <c r="M159" s="13" t="inlineStr">
        <is>
          <t>YES</t>
        </is>
      </c>
    </row>
    <row r="160">
      <c r="A160" s="13" t="inlineStr">
        <is>
          <t>Delhi Rulings</t>
        </is>
      </c>
      <c r="B160" s="13" t="inlineStr">
        <is>
          <t>16</t>
        </is>
      </c>
      <c r="C160" s="13" t="inlineStr">
        <is>
          <t>156</t>
        </is>
      </c>
      <c r="D160" s="13" t="inlineStr">
        <is>
          <t>M/s Maa Devsar Traders</t>
        </is>
      </c>
      <c r="E160" s="13" t="inlineStr">
        <is>
          <t>12.08.2024</t>
        </is>
      </c>
      <c r="F160" s="13" t="inlineStr">
        <is>
          <t>01.11.2024</t>
        </is>
      </c>
      <c r="G160" s="13" t="inlineStr">
        <is>
          <t>2024</t>
        </is>
      </c>
      <c r="H160" s="13" t="inlineStr">
        <is>
          <t>Classification of goods</t>
        </is>
      </c>
      <c r="I160" s="13" t="inlineStr">
        <is>
          <t>Classification</t>
        </is>
      </c>
      <c r="J160" s="13" t="inlineStr">
        <is>
          <t>explicit</t>
        </is>
      </c>
      <c r="K160" s="13" t="inlineStr">
        <is>
          <t>CAAR/Del/Devsar/77/2024</t>
        </is>
      </c>
      <c r="L160" s="14" t="inlineStr">
        <is>
          <t>https://www.cbic.gov.in/content/pdf/CONTENTREPO/CAAR/caar-rul-delhi-77-05112024.pdf</t>
        </is>
      </c>
      <c r="M160" s="13" t="inlineStr">
        <is>
          <t>YES</t>
        </is>
      </c>
    </row>
    <row r="161">
      <c r="A161" s="13" t="inlineStr">
        <is>
          <t>Delhi Rulings</t>
        </is>
      </c>
      <c r="B161" s="13" t="inlineStr">
        <is>
          <t>16</t>
        </is>
      </c>
      <c r="C161" s="13" t="inlineStr">
        <is>
          <t>157</t>
        </is>
      </c>
      <c r="D161" s="13" t="inlineStr">
        <is>
          <t>M/s Maa Devsar Traders</t>
        </is>
      </c>
      <c r="E161" s="13" t="inlineStr">
        <is>
          <t>12.08.2024</t>
        </is>
      </c>
      <c r="F161" s="13" t="inlineStr">
        <is>
          <t>01.11.2024</t>
        </is>
      </c>
      <c r="G161" s="13" t="inlineStr">
        <is>
          <t>2024</t>
        </is>
      </c>
      <c r="H161" s="13" t="inlineStr">
        <is>
          <t>Classification of goods</t>
        </is>
      </c>
      <c r="I161" s="13" t="inlineStr">
        <is>
          <t>Classification</t>
        </is>
      </c>
      <c r="J161" s="13" t="inlineStr">
        <is>
          <t>explicit</t>
        </is>
      </c>
      <c r="K161" s="13" t="inlineStr">
        <is>
          <t>CAAR/Del/Devsar/76/2024</t>
        </is>
      </c>
      <c r="L161" s="14" t="inlineStr">
        <is>
          <t>https://www.cbic.gov.in/content/pdf/CONTENTREPO/CAAR/caar-rul-delhi-76-05112024.pdf</t>
        </is>
      </c>
      <c r="M161" s="13" t="inlineStr">
        <is>
          <t>YES</t>
        </is>
      </c>
    </row>
    <row r="162">
      <c r="A162" s="13" t="inlineStr">
        <is>
          <t>Delhi Rulings</t>
        </is>
      </c>
      <c r="B162" s="13" t="inlineStr">
        <is>
          <t>16</t>
        </is>
      </c>
      <c r="C162" s="13" t="inlineStr">
        <is>
          <t>158</t>
        </is>
      </c>
      <c r="D162" s="13" t="inlineStr">
        <is>
          <t>M/s R V International</t>
        </is>
      </c>
      <c r="E162" s="13" t="inlineStr">
        <is>
          <t>23.09.2024</t>
        </is>
      </c>
      <c r="F162" s="13" t="inlineStr">
        <is>
          <t>01.11.2024</t>
        </is>
      </c>
      <c r="G162" s="13" t="inlineStr">
        <is>
          <t>2024</t>
        </is>
      </c>
      <c r="H162" s="13" t="inlineStr">
        <is>
          <t>Classification of goods</t>
        </is>
      </c>
      <c r="I162" s="13" t="inlineStr">
        <is>
          <t>Classification</t>
        </is>
      </c>
      <c r="J162" s="13" t="inlineStr">
        <is>
          <t>explicit</t>
        </is>
      </c>
      <c r="K162" s="13" t="inlineStr">
        <is>
          <t>CAAR/Del/RV intl/75/2024</t>
        </is>
      </c>
      <c r="L162" s="14" t="inlineStr">
        <is>
          <t>https://www.cbic.gov.in/content/pdf/CONTENTREPO/CAAR/caar-rul-delhi-75-05112024.pdf</t>
        </is>
      </c>
      <c r="M162" s="13" t="inlineStr">
        <is>
          <t>YES</t>
        </is>
      </c>
    </row>
    <row r="163">
      <c r="A163" s="13" t="inlineStr">
        <is>
          <t>Delhi Rulings</t>
        </is>
      </c>
      <c r="B163" s="13" t="inlineStr">
        <is>
          <t>16</t>
        </is>
      </c>
      <c r="C163" s="13" t="inlineStr">
        <is>
          <t>159</t>
        </is>
      </c>
      <c r="D163" s="13" t="inlineStr">
        <is>
          <t>M/s Maa Devsar Traders</t>
        </is>
      </c>
      <c r="E163" s="13" t="inlineStr">
        <is>
          <t>12.08.2024</t>
        </is>
      </c>
      <c r="F163" s="13" t="inlineStr">
        <is>
          <t>01.11.2024</t>
        </is>
      </c>
      <c r="G163" s="13" t="inlineStr">
        <is>
          <t>2024</t>
        </is>
      </c>
      <c r="H163" s="13" t="inlineStr">
        <is>
          <t>Classification of goods</t>
        </is>
      </c>
      <c r="I163" s="13" t="inlineStr">
        <is>
          <t>Classification</t>
        </is>
      </c>
      <c r="J163" s="13" t="inlineStr">
        <is>
          <t>explicit</t>
        </is>
      </c>
      <c r="K163" s="13" t="inlineStr">
        <is>
          <t>CAAR/Del/Devsar/74/2024</t>
        </is>
      </c>
      <c r="L163" s="14" t="inlineStr">
        <is>
          <t>https://www.cbic.gov.in/content/pdf/CONTENTREPO/CAAR/caar-rul-delhi-74-05112024.pdf</t>
        </is>
      </c>
      <c r="M163" s="13" t="inlineStr">
        <is>
          <t>YES</t>
        </is>
      </c>
    </row>
    <row r="164">
      <c r="A164" s="13" t="inlineStr">
        <is>
          <t>Delhi Rulings</t>
        </is>
      </c>
      <c r="B164" s="13" t="inlineStr">
        <is>
          <t>16</t>
        </is>
      </c>
      <c r="C164" s="13" t="inlineStr">
        <is>
          <t>160</t>
        </is>
      </c>
      <c r="D164" s="13" t="inlineStr">
        <is>
          <t>M/s Maa Devsar Traders</t>
        </is>
      </c>
      <c r="E164" s="13" t="inlineStr">
        <is>
          <t>12.08.2024</t>
        </is>
      </c>
      <c r="F164" s="13" t="inlineStr">
        <is>
          <t>01.11.2024</t>
        </is>
      </c>
      <c r="G164" s="13" t="inlineStr">
        <is>
          <t>2024</t>
        </is>
      </c>
      <c r="H164" s="13" t="inlineStr">
        <is>
          <t>Classification of goods</t>
        </is>
      </c>
      <c r="I164" s="13" t="inlineStr">
        <is>
          <t>Classification</t>
        </is>
      </c>
      <c r="J164" s="13" t="inlineStr">
        <is>
          <t>explicit</t>
        </is>
      </c>
      <c r="K164" s="13" t="inlineStr">
        <is>
          <t>CAAR/Del/Devsar/73/2024</t>
        </is>
      </c>
      <c r="L164" s="14" t="inlineStr">
        <is>
          <t>https://www.cbic.gov.in/content/pdf/CONTENTREPO/CAAR/caar-rul-delhi-73-05112024.pdf</t>
        </is>
      </c>
      <c r="M164" s="13" t="inlineStr">
        <is>
          <t>YES</t>
        </is>
      </c>
    </row>
    <row r="165">
      <c r="A165" s="13" t="inlineStr">
        <is>
          <t>Delhi Rulings</t>
        </is>
      </c>
      <c r="B165" s="13" t="inlineStr">
        <is>
          <t>17</t>
        </is>
      </c>
      <c r="C165" s="13" t="inlineStr">
        <is>
          <t>161</t>
        </is>
      </c>
      <c r="D165" s="13" t="inlineStr">
        <is>
          <t>M/s Lujee International Company Ltd</t>
        </is>
      </c>
      <c r="E165" s="13" t="inlineStr">
        <is>
          <t>30.08.2024</t>
        </is>
      </c>
      <c r="F165" s="13" t="inlineStr">
        <is>
          <t>29.10.2024</t>
        </is>
      </c>
      <c r="G165" s="13" t="inlineStr">
        <is>
          <t>2024</t>
        </is>
      </c>
      <c r="H165" s="13" t="inlineStr">
        <is>
          <t>Classification of goods</t>
        </is>
      </c>
      <c r="I165" s="13" t="inlineStr">
        <is>
          <t>Classification</t>
        </is>
      </c>
      <c r="J165" s="13" t="inlineStr">
        <is>
          <t>explicit</t>
        </is>
      </c>
      <c r="K165" s="13" t="inlineStr">
        <is>
          <t>CAAR/Del/Lujee/72/2024</t>
        </is>
      </c>
      <c r="L165" s="14" t="inlineStr">
        <is>
          <t>https://www.cbic.gov.in/content/pdf/CONTENTREPO/CAAR/caar-rul-delhi-72-05112024.pdf</t>
        </is>
      </c>
      <c r="M165" s="13" t="inlineStr">
        <is>
          <t>YES</t>
        </is>
      </c>
    </row>
    <row r="166">
      <c r="A166" s="13" t="inlineStr">
        <is>
          <t>Delhi Rulings</t>
        </is>
      </c>
      <c r="B166" s="13" t="inlineStr">
        <is>
          <t>17</t>
        </is>
      </c>
      <c r="C166" s="13" t="inlineStr">
        <is>
          <t>162</t>
        </is>
      </c>
      <c r="D166" s="13" t="inlineStr">
        <is>
          <t>M/s Solum India Hightech Pvt. Ltd</t>
        </is>
      </c>
      <c r="E166" s="13" t="inlineStr">
        <is>
          <t>15.07.2024</t>
        </is>
      </c>
      <c r="F166" s="13" t="inlineStr">
        <is>
          <t>22.10.2024</t>
        </is>
      </c>
      <c r="G166" s="13" t="inlineStr">
        <is>
          <t>2024</t>
        </is>
      </c>
      <c r="H166" s="13" t="inlineStr">
        <is>
          <t>Classification of goods.</t>
        </is>
      </c>
      <c r="I166" s="13" t="inlineStr">
        <is>
          <t>Classification</t>
        </is>
      </c>
      <c r="J166" s="13" t="inlineStr">
        <is>
          <t>explicit</t>
        </is>
      </c>
      <c r="K166" s="13" t="inlineStr">
        <is>
          <t>CAAR/Del/Solum/71/2024</t>
        </is>
      </c>
      <c r="L166" s="13" t="inlineStr"/>
      <c r="M166" s="13" t="inlineStr">
        <is>
          <t>NO</t>
        </is>
      </c>
    </row>
    <row r="167">
      <c r="A167" s="13" t="inlineStr">
        <is>
          <t>Delhi Rulings</t>
        </is>
      </c>
      <c r="B167" s="13" t="inlineStr">
        <is>
          <t>17</t>
        </is>
      </c>
      <c r="C167" s="13" t="inlineStr">
        <is>
          <t>163</t>
        </is>
      </c>
      <c r="D167" s="13" t="inlineStr">
        <is>
          <t>M/s Morya Traders.</t>
        </is>
      </c>
      <c r="E167" s="13" t="inlineStr">
        <is>
          <t>15.07.2024</t>
        </is>
      </c>
      <c r="F167" s="13" t="inlineStr">
        <is>
          <t>17.10.2024</t>
        </is>
      </c>
      <c r="G167" s="13" t="inlineStr">
        <is>
          <t>2024</t>
        </is>
      </c>
      <c r="H167" s="13" t="inlineStr">
        <is>
          <t>Classification of goods</t>
        </is>
      </c>
      <c r="I167" s="13" t="inlineStr">
        <is>
          <t>Classification</t>
        </is>
      </c>
      <c r="J167" s="13" t="inlineStr">
        <is>
          <t>explicit</t>
        </is>
      </c>
      <c r="K167" s="13" t="inlineStr">
        <is>
          <t>CAAR/Del/Morya Traders/70/2024</t>
        </is>
      </c>
      <c r="L167" s="14" t="inlineStr">
        <is>
          <t>https://www.cbic.gov.in/content/pdf/CONTENTREPO/CAAR/caar-del-70-morya-18102024.pdf</t>
        </is>
      </c>
      <c r="M167" s="13" t="inlineStr">
        <is>
          <t>YES</t>
        </is>
      </c>
    </row>
    <row r="168">
      <c r="A168" s="13" t="inlineStr">
        <is>
          <t>Delhi Rulings</t>
        </is>
      </c>
      <c r="B168" s="13" t="inlineStr">
        <is>
          <t>17</t>
        </is>
      </c>
      <c r="C168" s="13" t="inlineStr">
        <is>
          <t>164</t>
        </is>
      </c>
      <c r="D168" s="13" t="inlineStr">
        <is>
          <t>M/s Cuthber Passion LLP.</t>
        </is>
      </c>
      <c r="E168" s="13" t="inlineStr">
        <is>
          <t>29.07.2024</t>
        </is>
      </c>
      <c r="F168" s="13" t="inlineStr">
        <is>
          <t>14.10.2024</t>
        </is>
      </c>
      <c r="G168" s="13" t="inlineStr">
        <is>
          <t>2024</t>
        </is>
      </c>
      <c r="H168" s="13" t="inlineStr">
        <is>
          <t>Classification of goods</t>
        </is>
      </c>
      <c r="I168" s="13" t="inlineStr">
        <is>
          <t>Classification</t>
        </is>
      </c>
      <c r="J168" s="13" t="inlineStr">
        <is>
          <t>explicit</t>
        </is>
      </c>
      <c r="K168" s="13" t="inlineStr">
        <is>
          <t>CAAR/Del/cuthbert/69/2024</t>
        </is>
      </c>
      <c r="L168" s="14" t="inlineStr">
        <is>
          <t>https://www.cbic.gov.in/content/pdf/CONTENTREPO/CAAR/caar-del-69-cuth-17102024.pdf</t>
        </is>
      </c>
      <c r="M168" s="13" t="inlineStr">
        <is>
          <t>YES</t>
        </is>
      </c>
    </row>
    <row r="169">
      <c r="A169" s="13" t="inlineStr">
        <is>
          <t>Delhi Rulings</t>
        </is>
      </c>
      <c r="B169" s="13" t="inlineStr">
        <is>
          <t>17</t>
        </is>
      </c>
      <c r="C169" s="13" t="inlineStr">
        <is>
          <t>165</t>
        </is>
      </c>
      <c r="D169" s="13" t="inlineStr">
        <is>
          <t>M/s Cuthber Passion LLP.</t>
        </is>
      </c>
      <c r="E169" s="13" t="inlineStr">
        <is>
          <t>29.07.2024</t>
        </is>
      </c>
      <c r="F169" s="13" t="inlineStr">
        <is>
          <t>14.10.2024</t>
        </is>
      </c>
      <c r="G169" s="13" t="inlineStr">
        <is>
          <t>2024</t>
        </is>
      </c>
      <c r="H169" s="13" t="inlineStr">
        <is>
          <t>Classification of goods</t>
        </is>
      </c>
      <c r="I169" s="13" t="inlineStr">
        <is>
          <t>Classification</t>
        </is>
      </c>
      <c r="J169" s="13" t="inlineStr">
        <is>
          <t>explicit</t>
        </is>
      </c>
      <c r="K169" s="13" t="inlineStr">
        <is>
          <t>CAAR/Del/cuthbert/68/2024</t>
        </is>
      </c>
      <c r="L169" s="14" t="inlineStr">
        <is>
          <t>https://www.cbic.gov.in/content/pdf/CONTENTREPO/CAAR/caar-del-68-cuth-17102024.pdf</t>
        </is>
      </c>
      <c r="M169" s="13" t="inlineStr">
        <is>
          <t>YES</t>
        </is>
      </c>
    </row>
    <row r="170">
      <c r="A170" s="13" t="inlineStr">
        <is>
          <t>Delhi Rulings</t>
        </is>
      </c>
      <c r="B170" s="13" t="inlineStr">
        <is>
          <t>17</t>
        </is>
      </c>
      <c r="C170" s="13" t="inlineStr">
        <is>
          <t>166</t>
        </is>
      </c>
      <c r="D170" s="13" t="inlineStr">
        <is>
          <t>M/s Cuthber Passion LLP.</t>
        </is>
      </c>
      <c r="E170" s="13" t="inlineStr">
        <is>
          <t>29.07.2024</t>
        </is>
      </c>
      <c r="F170" s="13" t="inlineStr">
        <is>
          <t>10.10.2024</t>
        </is>
      </c>
      <c r="G170" s="13" t="inlineStr">
        <is>
          <t>2024</t>
        </is>
      </c>
      <c r="H170" s="13" t="inlineStr">
        <is>
          <t>Classification of goods</t>
        </is>
      </c>
      <c r="I170" s="13" t="inlineStr">
        <is>
          <t>Classification</t>
        </is>
      </c>
      <c r="J170" s="13" t="inlineStr">
        <is>
          <t>explicit</t>
        </is>
      </c>
      <c r="K170" s="13" t="inlineStr">
        <is>
          <t>CAAR/Del/cuthbert/67/2024</t>
        </is>
      </c>
      <c r="L170" s="14" t="inlineStr">
        <is>
          <t>https://www.cbic.gov.in/content/pdf/CONTENTREPO/CAAR/caar-del-67-dani-21102024.pdf</t>
        </is>
      </c>
      <c r="M170" s="13" t="inlineStr">
        <is>
          <t>YES</t>
        </is>
      </c>
    </row>
    <row r="171">
      <c r="A171" s="13" t="inlineStr">
        <is>
          <t>Delhi Rulings</t>
        </is>
      </c>
      <c r="B171" s="13" t="inlineStr">
        <is>
          <t>17</t>
        </is>
      </c>
      <c r="C171" s="13" t="inlineStr">
        <is>
          <t>167</t>
        </is>
      </c>
      <c r="D171" s="13" t="inlineStr">
        <is>
          <t>M/s Cuthber Passion LLP.</t>
        </is>
      </c>
      <c r="E171" s="13" t="inlineStr">
        <is>
          <t>29.07.2024</t>
        </is>
      </c>
      <c r="F171" s="13" t="inlineStr">
        <is>
          <t>14.10.2024</t>
        </is>
      </c>
      <c r="G171" s="13" t="inlineStr">
        <is>
          <t>2024</t>
        </is>
      </c>
      <c r="H171" s="13" t="inlineStr">
        <is>
          <t>Classification of goods</t>
        </is>
      </c>
      <c r="I171" s="13" t="inlineStr">
        <is>
          <t>Classification</t>
        </is>
      </c>
      <c r="J171" s="13" t="inlineStr">
        <is>
          <t>explicit</t>
        </is>
      </c>
      <c r="K171" s="13" t="inlineStr">
        <is>
          <t>CAAR/Del/cuthbert/66/2024</t>
        </is>
      </c>
      <c r="L171" s="14" t="inlineStr">
        <is>
          <t>https://www.cbic.gov.in/content/pdf/CONTENTREPO/CAAR/caar-del-66-dani-21102024.pdf</t>
        </is>
      </c>
      <c r="M171" s="13" t="inlineStr">
        <is>
          <t>YES</t>
        </is>
      </c>
    </row>
    <row r="172">
      <c r="A172" s="13" t="inlineStr">
        <is>
          <t>Delhi Rulings</t>
        </is>
      </c>
      <c r="B172" s="13" t="inlineStr">
        <is>
          <t>17</t>
        </is>
      </c>
      <c r="C172" s="13" t="inlineStr">
        <is>
          <t>168</t>
        </is>
      </c>
      <c r="D172" s="13" t="inlineStr">
        <is>
          <t>M/s Danisco India (P) Ltd.</t>
        </is>
      </c>
      <c r="E172" s="13" t="inlineStr">
        <is>
          <t>25.06.2024</t>
        </is>
      </c>
      <c r="F172" s="13" t="inlineStr">
        <is>
          <t>10.10.2024</t>
        </is>
      </c>
      <c r="G172" s="13" t="inlineStr">
        <is>
          <t>2024</t>
        </is>
      </c>
      <c r="H172" s="13" t="inlineStr">
        <is>
          <t>Classification of goods</t>
        </is>
      </c>
      <c r="I172" s="13" t="inlineStr">
        <is>
          <t>Classification</t>
        </is>
      </c>
      <c r="J172" s="13" t="inlineStr">
        <is>
          <t>explicit</t>
        </is>
      </c>
      <c r="K172" s="13" t="inlineStr">
        <is>
          <t>CAAR/Del/Danisco/65/2024</t>
        </is>
      </c>
      <c r="L172" s="14" t="inlineStr">
        <is>
          <t>https://www.cbic.gov.in/content/pdf/CONTENTREPO/CAAR/caar-del-65-dani-21102024.pdf</t>
        </is>
      </c>
      <c r="M172" s="13" t="inlineStr">
        <is>
          <t>YES</t>
        </is>
      </c>
    </row>
    <row r="173">
      <c r="A173" s="13" t="inlineStr">
        <is>
          <t>Delhi Rulings</t>
        </is>
      </c>
      <c r="B173" s="13" t="inlineStr">
        <is>
          <t>17</t>
        </is>
      </c>
      <c r="C173" s="13" t="inlineStr">
        <is>
          <t>169</t>
        </is>
      </c>
      <c r="D173" s="13" t="inlineStr">
        <is>
          <t>M/s Danisco India (P) Ltd.</t>
        </is>
      </c>
      <c r="E173" s="13" t="inlineStr">
        <is>
          <t>25.06.2024</t>
        </is>
      </c>
      <c r="F173" s="13" t="inlineStr">
        <is>
          <t>10.10.2024</t>
        </is>
      </c>
      <c r="G173" s="13" t="inlineStr">
        <is>
          <t>2024</t>
        </is>
      </c>
      <c r="H173" s="13" t="inlineStr">
        <is>
          <t>Classification of goods</t>
        </is>
      </c>
      <c r="I173" s="13" t="inlineStr">
        <is>
          <t>Classification</t>
        </is>
      </c>
      <c r="J173" s="13" t="inlineStr">
        <is>
          <t>explicit</t>
        </is>
      </c>
      <c r="K173" s="13" t="inlineStr">
        <is>
          <t>CAAR/Del/Danisco/64/2024</t>
        </is>
      </c>
      <c r="L173" s="14" t="inlineStr">
        <is>
          <t>https://www.cbic.gov.in/content/pdf/CONTENTREPO/CAAR/caar-del-64-danI-17102024.pdf</t>
        </is>
      </c>
      <c r="M173" s="13" t="inlineStr">
        <is>
          <t>YES</t>
        </is>
      </c>
    </row>
    <row r="174">
      <c r="A174" s="13" t="inlineStr">
        <is>
          <t>Delhi Rulings</t>
        </is>
      </c>
      <c r="B174" s="13" t="inlineStr">
        <is>
          <t>17</t>
        </is>
      </c>
      <c r="C174" s="13" t="inlineStr">
        <is>
          <t>170</t>
        </is>
      </c>
      <c r="D174" s="13" t="inlineStr">
        <is>
          <t>M/s Arista Networks.</t>
        </is>
      </c>
      <c r="E174" s="13" t="inlineStr">
        <is>
          <t>20.06.2024</t>
        </is>
      </c>
      <c r="F174" s="13" t="inlineStr">
        <is>
          <t>08.10.2024</t>
        </is>
      </c>
      <c r="G174" s="13" t="inlineStr">
        <is>
          <t>2024</t>
        </is>
      </c>
      <c r="H174" s="13" t="inlineStr">
        <is>
          <t>Determination of valuation of goods</t>
        </is>
      </c>
      <c r="I174" s="13" t="inlineStr">
        <is>
          <t>Valuation</t>
        </is>
      </c>
      <c r="J174" s="13" t="inlineStr">
        <is>
          <t>explicit</t>
        </is>
      </c>
      <c r="K174" s="13" t="inlineStr">
        <is>
          <t>CAAR/Del/Arista/63/2024</t>
        </is>
      </c>
      <c r="L174" s="14" t="inlineStr">
        <is>
          <t>https://www.cbic.gov.in/content/pdf/CONTENTREPO/CAAR/caar-del-63-Arista-17102024.pdf</t>
        </is>
      </c>
      <c r="M174" s="13" t="inlineStr">
        <is>
          <t>YES</t>
        </is>
      </c>
    </row>
    <row r="175">
      <c r="A175" s="13" t="inlineStr">
        <is>
          <t>Delhi Rulings</t>
        </is>
      </c>
      <c r="B175" s="13" t="inlineStr">
        <is>
          <t>18</t>
        </is>
      </c>
      <c r="C175" s="13" t="inlineStr">
        <is>
          <t>171</t>
        </is>
      </c>
      <c r="D175" s="13" t="inlineStr">
        <is>
          <t>M/s RV international</t>
        </is>
      </c>
      <c r="E175" s="13" t="inlineStr">
        <is>
          <t>31.07.2024</t>
        </is>
      </c>
      <c r="F175" s="13" t="inlineStr">
        <is>
          <t>03.10.2024</t>
        </is>
      </c>
      <c r="G175" s="13" t="inlineStr">
        <is>
          <t>2024</t>
        </is>
      </c>
      <c r="H175" s="13" t="inlineStr">
        <is>
          <t>Classification of goods.</t>
        </is>
      </c>
      <c r="I175" s="13" t="inlineStr">
        <is>
          <t>Classification</t>
        </is>
      </c>
      <c r="J175" s="13" t="inlineStr">
        <is>
          <t>explicit</t>
        </is>
      </c>
      <c r="K175" s="13" t="inlineStr">
        <is>
          <t>CAAR/Del/RV intl/62/2024</t>
        </is>
      </c>
      <c r="L175" s="14" t="inlineStr">
        <is>
          <t>https://www.cbic.gov.in/content/pdf/CONTENTREPO/CAAR/caar-del-63-09102024.pdf</t>
        </is>
      </c>
      <c r="M175" s="13" t="inlineStr">
        <is>
          <t>YES</t>
        </is>
      </c>
    </row>
    <row r="176">
      <c r="A176" s="13" t="inlineStr">
        <is>
          <t>Delhi Rulings</t>
        </is>
      </c>
      <c r="B176" s="13" t="inlineStr">
        <is>
          <t>18</t>
        </is>
      </c>
      <c r="C176" s="13" t="inlineStr">
        <is>
          <t>172</t>
        </is>
      </c>
      <c r="D176" s="13" t="inlineStr">
        <is>
          <t>M/s Wood Tech Indutries</t>
        </is>
      </c>
      <c r="E176" s="13" t="inlineStr">
        <is>
          <t>09.08.2024</t>
        </is>
      </c>
      <c r="F176" s="13" t="inlineStr">
        <is>
          <t>30.09.2024</t>
        </is>
      </c>
      <c r="G176" s="13" t="inlineStr">
        <is>
          <t>2024</t>
        </is>
      </c>
      <c r="H176" s="13" t="inlineStr">
        <is>
          <t>Classification of goods</t>
        </is>
      </c>
      <c r="I176" s="13" t="inlineStr">
        <is>
          <t>Classification</t>
        </is>
      </c>
      <c r="J176" s="13" t="inlineStr">
        <is>
          <t>explicit</t>
        </is>
      </c>
      <c r="K176" s="13" t="inlineStr">
        <is>
          <t>CAAR/Del/Wood Tech/61/2024</t>
        </is>
      </c>
      <c r="L176" s="14" t="inlineStr">
        <is>
          <t>https://www.cbic.gov.in/content/pdf/CONTENTREPO/CAAR/caar-rul-delhi-61-07102024.pdf</t>
        </is>
      </c>
      <c r="M176" s="13" t="inlineStr">
        <is>
          <t>YES</t>
        </is>
      </c>
    </row>
    <row r="177">
      <c r="A177" s="13" t="inlineStr">
        <is>
          <t>Delhi Rulings</t>
        </is>
      </c>
      <c r="B177" s="13" t="inlineStr">
        <is>
          <t>18</t>
        </is>
      </c>
      <c r="C177" s="13" t="inlineStr">
        <is>
          <t>173</t>
        </is>
      </c>
      <c r="D177" s="13" t="inlineStr">
        <is>
          <t>M/s Saga International</t>
        </is>
      </c>
      <c r="E177" s="13" t="inlineStr">
        <is>
          <t>01.07.2024</t>
        </is>
      </c>
      <c r="F177" s="13" t="inlineStr">
        <is>
          <t>30.09.2024</t>
        </is>
      </c>
      <c r="G177" s="13" t="inlineStr">
        <is>
          <t>2024</t>
        </is>
      </c>
      <c r="H177" s="13" t="inlineStr">
        <is>
          <t>Classification of goods</t>
        </is>
      </c>
      <c r="I177" s="13" t="inlineStr">
        <is>
          <t>Classification</t>
        </is>
      </c>
      <c r="J177" s="13" t="inlineStr">
        <is>
          <t>explicit</t>
        </is>
      </c>
      <c r="K177" s="13" t="inlineStr">
        <is>
          <t>CAAR/Del/Saga/60/2024</t>
        </is>
      </c>
      <c r="L177" s="14" t="inlineStr">
        <is>
          <t>https://www.cbic.gov.in/content/pdf/CONTENTREPO/CAAR/caar-rul-delhi-60-07102024.pdf</t>
        </is>
      </c>
      <c r="M177" s="13" t="inlineStr">
        <is>
          <t>YES</t>
        </is>
      </c>
    </row>
    <row r="178">
      <c r="A178" s="13" t="inlineStr">
        <is>
          <t>Delhi Rulings</t>
        </is>
      </c>
      <c r="B178" s="13" t="inlineStr">
        <is>
          <t>18</t>
        </is>
      </c>
      <c r="C178" s="13" t="inlineStr">
        <is>
          <t>174</t>
        </is>
      </c>
      <c r="D178" s="13" t="inlineStr">
        <is>
          <t>M/s Arista Networks limited</t>
        </is>
      </c>
      <c r="E178" s="13" t="inlineStr">
        <is>
          <t>20.06.2024</t>
        </is>
      </c>
      <c r="F178" s="13" t="inlineStr">
        <is>
          <t>26.09.2024</t>
        </is>
      </c>
      <c r="G178" s="13" t="inlineStr">
        <is>
          <t>2024</t>
        </is>
      </c>
      <c r="H178" s="13" t="inlineStr">
        <is>
          <t>Determination of valuation of goods</t>
        </is>
      </c>
      <c r="I178" s="13" t="inlineStr">
        <is>
          <t>Valuation</t>
        </is>
      </c>
      <c r="J178" s="13" t="inlineStr">
        <is>
          <t>explicit</t>
        </is>
      </c>
      <c r="K178" s="13" t="inlineStr">
        <is>
          <t>CAAR/Del/Arista/59/2024</t>
        </is>
      </c>
      <c r="L178" s="14" t="inlineStr">
        <is>
          <t>https://www.cbic.gov.in/content/pdf/CONTENTREPO/CAAR/caar-rul-delhi-59-07102024.pdf</t>
        </is>
      </c>
      <c r="M178" s="13" t="inlineStr">
        <is>
          <t>YES</t>
        </is>
      </c>
    </row>
    <row r="179">
      <c r="A179" s="13" t="inlineStr">
        <is>
          <t>Delhi Rulings</t>
        </is>
      </c>
      <c r="B179" s="13" t="inlineStr">
        <is>
          <t>18</t>
        </is>
      </c>
      <c r="C179" s="13" t="inlineStr">
        <is>
          <t>175</t>
        </is>
      </c>
      <c r="D179" s="13" t="inlineStr">
        <is>
          <t>M/s Arista Networks limited</t>
        </is>
      </c>
      <c r="E179" s="13" t="inlineStr">
        <is>
          <t>20.06.2024</t>
        </is>
      </c>
      <c r="F179" s="13" t="inlineStr">
        <is>
          <t>26.09.2024</t>
        </is>
      </c>
      <c r="G179" s="13" t="inlineStr">
        <is>
          <t>2024</t>
        </is>
      </c>
      <c r="H179" s="13" t="inlineStr">
        <is>
          <t>Determination of valuation of goods</t>
        </is>
      </c>
      <c r="I179" s="13" t="inlineStr">
        <is>
          <t>Valuation</t>
        </is>
      </c>
      <c r="J179" s="13" t="inlineStr">
        <is>
          <t>explicit</t>
        </is>
      </c>
      <c r="K179" s="13" t="inlineStr">
        <is>
          <t>CAAR/Del/Arista/58/2024</t>
        </is>
      </c>
      <c r="L179" s="14" t="inlineStr">
        <is>
          <t>https://www.cbic.gov.in/content/pdf/CONTENTREPO/CAAR/caar-rul-delhi-58-07102024.pdf</t>
        </is>
      </c>
      <c r="M179" s="13" t="inlineStr">
        <is>
          <t>YES</t>
        </is>
      </c>
    </row>
    <row r="180">
      <c r="A180" s="13" t="inlineStr">
        <is>
          <t>Delhi Rulings</t>
        </is>
      </c>
      <c r="B180" s="13" t="inlineStr">
        <is>
          <t>18</t>
        </is>
      </c>
      <c r="C180" s="13" t="inlineStr">
        <is>
          <t>176</t>
        </is>
      </c>
      <c r="D180" s="13" t="inlineStr">
        <is>
          <t>M/s Nokia Solutions</t>
        </is>
      </c>
      <c r="E180" s="13" t="inlineStr">
        <is>
          <t>05.07.2024</t>
        </is>
      </c>
      <c r="F180" s="13" t="inlineStr">
        <is>
          <t>26.09.2024</t>
        </is>
      </c>
      <c r="G180" s="13" t="inlineStr">
        <is>
          <t>2024</t>
        </is>
      </c>
      <c r="H180" s="13" t="inlineStr">
        <is>
          <t>Classification of goods</t>
        </is>
      </c>
      <c r="I180" s="13" t="inlineStr">
        <is>
          <t>Classification</t>
        </is>
      </c>
      <c r="J180" s="13" t="inlineStr">
        <is>
          <t>explicit</t>
        </is>
      </c>
      <c r="K180" s="13" t="inlineStr">
        <is>
          <t>CAAR/Del/Nokia/57/2024</t>
        </is>
      </c>
      <c r="L180" s="14" t="inlineStr">
        <is>
          <t>https://www.cbic.gov.in/content/pdf/CONTENTREPO/CAAR/caar-rul-delhi-57-07102024.pdf</t>
        </is>
      </c>
      <c r="M180" s="13" t="inlineStr">
        <is>
          <t>YES</t>
        </is>
      </c>
    </row>
    <row r="181">
      <c r="A181" s="13" t="inlineStr">
        <is>
          <t>Delhi Rulings</t>
        </is>
      </c>
      <c r="B181" s="13" t="inlineStr">
        <is>
          <t>18</t>
        </is>
      </c>
      <c r="C181" s="13" t="inlineStr">
        <is>
          <t>177</t>
        </is>
      </c>
      <c r="D181" s="13" t="inlineStr">
        <is>
          <t>M/s Nokia Solutions</t>
        </is>
      </c>
      <c r="E181" s="13" t="inlineStr">
        <is>
          <t>05.07.2024</t>
        </is>
      </c>
      <c r="F181" s="13" t="inlineStr">
        <is>
          <t>26.09.2024</t>
        </is>
      </c>
      <c r="G181" s="13" t="inlineStr">
        <is>
          <t>2024</t>
        </is>
      </c>
      <c r="H181" s="13" t="inlineStr">
        <is>
          <t>Classification of goods</t>
        </is>
      </c>
      <c r="I181" s="13" t="inlineStr">
        <is>
          <t>Classification</t>
        </is>
      </c>
      <c r="J181" s="13" t="inlineStr">
        <is>
          <t>explicit</t>
        </is>
      </c>
      <c r="K181" s="13" t="inlineStr">
        <is>
          <t>CAAR/Del/Nokia/56/2024</t>
        </is>
      </c>
      <c r="L181" s="14" t="inlineStr">
        <is>
          <t>https://www.cbic.gov.in/content/pdf/CONTENTREPO/CAAR/caar-rul-delhi-56-07102024.pdf</t>
        </is>
      </c>
      <c r="M181" s="13" t="inlineStr">
        <is>
          <t>YES</t>
        </is>
      </c>
    </row>
    <row r="182">
      <c r="A182" s="13" t="inlineStr">
        <is>
          <t>Delhi Rulings</t>
        </is>
      </c>
      <c r="B182" s="13" t="inlineStr">
        <is>
          <t>18</t>
        </is>
      </c>
      <c r="C182" s="13" t="inlineStr">
        <is>
          <t>178</t>
        </is>
      </c>
      <c r="D182" s="13" t="inlineStr">
        <is>
          <t>M/s Rawder Petroleum Pvt. Ltd.</t>
        </is>
      </c>
      <c r="E182" s="13" t="inlineStr">
        <is>
          <t>18.06.2024</t>
        </is>
      </c>
      <c r="F182" s="13" t="inlineStr">
        <is>
          <t>19.09.2024</t>
        </is>
      </c>
      <c r="G182" s="13" t="inlineStr">
        <is>
          <t>2024</t>
        </is>
      </c>
      <c r="H182" s="13" t="inlineStr">
        <is>
          <t>Roasted Areca Nut (whole, cut, split)</t>
        </is>
      </c>
      <c r="I182" s="13" t="inlineStr">
        <is>
          <t>Classification</t>
        </is>
      </c>
      <c r="J182" s="13" t="inlineStr">
        <is>
          <t>inferred</t>
        </is>
      </c>
      <c r="K182" s="13" t="inlineStr">
        <is>
          <t>CAAR/Del/Rawder/55/2024</t>
        </is>
      </c>
      <c r="L182" s="14" t="inlineStr">
        <is>
          <t>https://www.cbic.gov.in/content/pdf/CONTENTREPO/CAAR/Rawder_ruling_24092024.pdf</t>
        </is>
      </c>
      <c r="M182" s="13" t="inlineStr">
        <is>
          <t>YES</t>
        </is>
      </c>
    </row>
    <row r="183">
      <c r="A183" s="13" t="inlineStr">
        <is>
          <t>Delhi Rulings</t>
        </is>
      </c>
      <c r="B183" s="13" t="inlineStr">
        <is>
          <t>18</t>
        </is>
      </c>
      <c r="C183" s="13" t="inlineStr">
        <is>
          <t>179</t>
        </is>
      </c>
      <c r="D183" s="13" t="inlineStr">
        <is>
          <t>M/s Forever New Apparels Pvt. Ltd. (31/2024).</t>
        </is>
      </c>
      <c r="E183" s="13" t="inlineStr">
        <is>
          <t>26.06.2024</t>
        </is>
      </c>
      <c r="F183" s="13" t="inlineStr">
        <is>
          <t>19.09.2024</t>
        </is>
      </c>
      <c r="G183" s="13" t="inlineStr">
        <is>
          <t>2024</t>
        </is>
      </c>
      <c r="H183" s="13" t="inlineStr">
        <is>
          <t>Principle of valuation.</t>
        </is>
      </c>
      <c r="I183" s="13" t="inlineStr">
        <is>
          <t>Valuation</t>
        </is>
      </c>
      <c r="J183" s="13" t="inlineStr">
        <is>
          <t>explicit</t>
        </is>
      </c>
      <c r="K183" s="13" t="inlineStr">
        <is>
          <t>CAAR/Del/Forever/54/2024</t>
        </is>
      </c>
      <c r="L183" s="14" t="inlineStr">
        <is>
          <t>https://www.cbic.gov.in/content/pdf/CONTENTREPO/CAAR/caar-del-54-25092024.pdf</t>
        </is>
      </c>
      <c r="M183" s="13" t="inlineStr">
        <is>
          <t>YES</t>
        </is>
      </c>
    </row>
    <row r="184">
      <c r="A184" s="13" t="inlineStr">
        <is>
          <t>Delhi Rulings</t>
        </is>
      </c>
      <c r="B184" s="13" t="inlineStr">
        <is>
          <t>18</t>
        </is>
      </c>
      <c r="C184" s="13" t="inlineStr">
        <is>
          <t>180</t>
        </is>
      </c>
      <c r="D184" s="13" t="inlineStr">
        <is>
          <t>M/s Di Pec Exim LLP (75/2024).</t>
        </is>
      </c>
      <c r="E184" s="13" t="inlineStr">
        <is>
          <t>31.07.2024</t>
        </is>
      </c>
      <c r="F184" s="13" t="inlineStr">
        <is>
          <t>19.09.2024</t>
        </is>
      </c>
      <c r="G184" s="13" t="inlineStr">
        <is>
          <t>2024</t>
        </is>
      </c>
      <c r="H184" s="13" t="inlineStr">
        <is>
          <t>Roasted Areca Nut (whole, cut, split).</t>
        </is>
      </c>
      <c r="I184" s="13" t="inlineStr">
        <is>
          <t>Classification</t>
        </is>
      </c>
      <c r="J184" s="13" t="inlineStr">
        <is>
          <t>inferred</t>
        </is>
      </c>
      <c r="K184" s="13" t="inlineStr">
        <is>
          <t>CAAR/Del/DI PEC/53/2024</t>
        </is>
      </c>
      <c r="L184" s="14" t="inlineStr">
        <is>
          <t>https://www.cbic.gov.in/content/pdf/CONTENTREPO/CAAR/caar-del-53-25092024.pdf</t>
        </is>
      </c>
      <c r="M184" s="13" t="inlineStr">
        <is>
          <t>YES</t>
        </is>
      </c>
    </row>
    <row r="185">
      <c r="A185" s="13" t="inlineStr">
        <is>
          <t>Delhi Rulings</t>
        </is>
      </c>
      <c r="B185" s="13" t="inlineStr">
        <is>
          <t>19</t>
        </is>
      </c>
      <c r="C185" s="13" t="inlineStr">
        <is>
          <t>181</t>
        </is>
      </c>
      <c r="D185" s="13" t="inlineStr">
        <is>
          <t>M/s Cuthbert Passion LLP (71/2024)</t>
        </is>
      </c>
      <c r="E185" s="13" t="inlineStr">
        <is>
          <t>29.07.2024</t>
        </is>
      </c>
      <c r="F185" s="13" t="inlineStr">
        <is>
          <t>19.09.2024</t>
        </is>
      </c>
      <c r="G185" s="13" t="inlineStr">
        <is>
          <t>2024</t>
        </is>
      </c>
      <c r="H185" s="13" t="inlineStr">
        <is>
          <t>Roasted Areca Nut (whole, cut, split)</t>
        </is>
      </c>
      <c r="I185" s="13" t="inlineStr">
        <is>
          <t>Classification</t>
        </is>
      </c>
      <c r="J185" s="13" t="inlineStr">
        <is>
          <t>inferred</t>
        </is>
      </c>
      <c r="K185" s="13" t="inlineStr">
        <is>
          <t>CAAR/Del/Cuthbert/52/2024</t>
        </is>
      </c>
      <c r="L185" s="14" t="inlineStr">
        <is>
          <t>https://www.cbic.gov.in/content/pdf/CONTENTREPO/CAAR/cuthbert_ruling_24092024.pdf</t>
        </is>
      </c>
      <c r="M185" s="13" t="inlineStr">
        <is>
          <t>YES</t>
        </is>
      </c>
    </row>
    <row r="186">
      <c r="A186" s="13" t="inlineStr">
        <is>
          <t>Delhi Rulings</t>
        </is>
      </c>
      <c r="B186" s="13" t="inlineStr">
        <is>
          <t>19</t>
        </is>
      </c>
      <c r="C186" s="13" t="inlineStr">
        <is>
          <t>182</t>
        </is>
      </c>
      <c r="D186" s="13" t="inlineStr">
        <is>
          <t>M/s RV International (77/2024).</t>
        </is>
      </c>
      <c r="E186" s="13" t="inlineStr">
        <is>
          <t>31.07.2024</t>
        </is>
      </c>
      <c r="F186" s="13" t="inlineStr">
        <is>
          <t>11.09.2024</t>
        </is>
      </c>
      <c r="G186" s="13" t="inlineStr">
        <is>
          <t>2024</t>
        </is>
      </c>
      <c r="H186" s="13" t="inlineStr">
        <is>
          <t>Roasted Areca Nut (whole, cut, split)</t>
        </is>
      </c>
      <c r="I186" s="13" t="inlineStr">
        <is>
          <t>Classification</t>
        </is>
      </c>
      <c r="J186" s="13" t="inlineStr">
        <is>
          <t>inferred</t>
        </is>
      </c>
      <c r="K186" s="13" t="inlineStr">
        <is>
          <t>CAAR/Del/RV Intl./51/2024</t>
        </is>
      </c>
      <c r="L186" s="14" t="inlineStr">
        <is>
          <t>https://www.cbic.gov.in/content/pdf/CONTENTREPO/CAAR/caar-del-51-RV-17092024.pdf</t>
        </is>
      </c>
      <c r="M186" s="13" t="inlineStr">
        <is>
          <t>YES</t>
        </is>
      </c>
    </row>
    <row r="187">
      <c r="A187" s="13" t="inlineStr">
        <is>
          <t>Delhi Rulings</t>
        </is>
      </c>
      <c r="B187" s="13" t="inlineStr">
        <is>
          <t>19</t>
        </is>
      </c>
      <c r="C187" s="13" t="inlineStr">
        <is>
          <t>183</t>
        </is>
      </c>
      <c r="D187" s="13" t="inlineStr">
        <is>
          <t>M/s Saga International (61/2024)</t>
        </is>
      </c>
      <c r="E187" s="13" t="inlineStr">
        <is>
          <t>01.07.2024</t>
        </is>
      </c>
      <c r="F187" s="13" t="inlineStr">
        <is>
          <t>09.09.2024</t>
        </is>
      </c>
      <c r="G187" s="13" t="inlineStr">
        <is>
          <t>2024</t>
        </is>
      </c>
      <c r="H187" s="13" t="inlineStr">
        <is>
          <t>Roasted Areca Nut, Roasted Areca Nut (cut)</t>
        </is>
      </c>
      <c r="I187" s="13" t="inlineStr">
        <is>
          <t>Classification</t>
        </is>
      </c>
      <c r="J187" s="13" t="inlineStr">
        <is>
          <t>inferred</t>
        </is>
      </c>
      <c r="K187" s="13" t="inlineStr">
        <is>
          <t>CAAR/Del/Saga/50/2024</t>
        </is>
      </c>
      <c r="L187" s="14" t="inlineStr">
        <is>
          <t>https://www.cbic.gov.in/content/pdf/CONTENTREPO/CAAR/caar-delhi-50-13092024.pdf</t>
        </is>
      </c>
      <c r="M187" s="13" t="inlineStr">
        <is>
          <t>YES</t>
        </is>
      </c>
    </row>
    <row r="188">
      <c r="A188" s="13" t="inlineStr">
        <is>
          <t>Delhi Rulings</t>
        </is>
      </c>
      <c r="B188" s="13" t="inlineStr">
        <is>
          <t>19</t>
        </is>
      </c>
      <c r="C188" s="13" t="inlineStr">
        <is>
          <t>184</t>
        </is>
      </c>
      <c r="D188" s="13" t="inlineStr">
        <is>
          <t>M/s Saga International (59/2024)</t>
        </is>
      </c>
      <c r="E188" s="13" t="inlineStr">
        <is>
          <t>01.07.2024</t>
        </is>
      </c>
      <c r="F188" s="13" t="inlineStr">
        <is>
          <t>09.09.2024</t>
        </is>
      </c>
      <c r="G188" s="13" t="inlineStr">
        <is>
          <t>2024</t>
        </is>
      </c>
      <c r="H188" s="13" t="inlineStr">
        <is>
          <t>Roasted Areca Nut, Roasted Areca Nut (cut)</t>
        </is>
      </c>
      <c r="I188" s="13" t="inlineStr">
        <is>
          <t>Classification</t>
        </is>
      </c>
      <c r="J188" s="13" t="inlineStr">
        <is>
          <t>inferred</t>
        </is>
      </c>
      <c r="K188" s="13" t="inlineStr">
        <is>
          <t>CAAR/Del/Saga/49/2024</t>
        </is>
      </c>
      <c r="L188" s="14" t="inlineStr">
        <is>
          <t>https://www.cbic.gov.in/content/pdf/CONTENTREPO/CAAR/caar-delhi-49-13092024.pdf</t>
        </is>
      </c>
      <c r="M188" s="13" t="inlineStr">
        <is>
          <t>YES</t>
        </is>
      </c>
    </row>
    <row r="189">
      <c r="A189" s="13" t="inlineStr">
        <is>
          <t>Delhi Rulings</t>
        </is>
      </c>
      <c r="B189" s="13" t="inlineStr">
        <is>
          <t>19</t>
        </is>
      </c>
      <c r="C189" s="13" t="inlineStr">
        <is>
          <t>185</t>
        </is>
      </c>
      <c r="D189" s="13" t="inlineStr">
        <is>
          <t>M/s RV International.</t>
        </is>
      </c>
      <c r="E189" s="13" t="inlineStr">
        <is>
          <t>31.07.2024</t>
        </is>
      </c>
      <c r="F189" s="13" t="inlineStr">
        <is>
          <t>30.08.2024</t>
        </is>
      </c>
      <c r="G189" s="13" t="inlineStr">
        <is>
          <t>2024</t>
        </is>
      </c>
      <c r="H189" s="13" t="inlineStr">
        <is>
          <t>Classification of Areca Nut (whole/split/cut).</t>
        </is>
      </c>
      <c r="I189" s="13" t="inlineStr">
        <is>
          <t>Classification</t>
        </is>
      </c>
      <c r="J189" s="13" t="inlineStr">
        <is>
          <t>explicit</t>
        </is>
      </c>
      <c r="K189" s="13" t="inlineStr">
        <is>
          <t>CAAR/Del/RV Intll/48/2024</t>
        </is>
      </c>
      <c r="L189" s="14" t="inlineStr">
        <is>
          <t>https://www.cbic.gov.in/content/pdf/CONTENTREPO/CAAR/caar-del-48-03092024.pdf</t>
        </is>
      </c>
      <c r="M189" s="13" t="inlineStr">
        <is>
          <t>YES</t>
        </is>
      </c>
    </row>
    <row r="190">
      <c r="A190" s="13" t="inlineStr">
        <is>
          <t>Delhi Rulings</t>
        </is>
      </c>
      <c r="B190" s="13" t="inlineStr">
        <is>
          <t>19</t>
        </is>
      </c>
      <c r="C190" s="13" t="inlineStr">
        <is>
          <t>186</t>
        </is>
      </c>
      <c r="D190" s="13" t="inlineStr">
        <is>
          <t>M/s Cutberth Passion LLP.</t>
        </is>
      </c>
      <c r="E190" s="13" t="inlineStr">
        <is>
          <t>29.07.2024</t>
        </is>
      </c>
      <c r="F190" s="13" t="inlineStr">
        <is>
          <t>30.08.2024</t>
        </is>
      </c>
      <c r="G190" s="13" t="inlineStr">
        <is>
          <t>2024</t>
        </is>
      </c>
      <c r="H190" s="13" t="inlineStr">
        <is>
          <t>Classification of Areca Nut (whole/split/cut).</t>
        </is>
      </c>
      <c r="I190" s="13" t="inlineStr">
        <is>
          <t>Classification</t>
        </is>
      </c>
      <c r="J190" s="13" t="inlineStr">
        <is>
          <t>explicit</t>
        </is>
      </c>
      <c r="K190" s="13" t="inlineStr">
        <is>
          <t>CAAR/Del/Cutberth/47/2024</t>
        </is>
      </c>
      <c r="L190" s="14" t="inlineStr">
        <is>
          <t>https://www.cbic.gov.in/content/pdf/CONTENTREPO/CAAR/caar-del-47-03092024.pdf</t>
        </is>
      </c>
      <c r="M190" s="13" t="inlineStr">
        <is>
          <t>YES</t>
        </is>
      </c>
    </row>
    <row r="191">
      <c r="A191" s="13" t="inlineStr">
        <is>
          <t>Delhi Rulings</t>
        </is>
      </c>
      <c r="B191" s="13" t="inlineStr">
        <is>
          <t>19</t>
        </is>
      </c>
      <c r="C191" s="13" t="inlineStr">
        <is>
          <t>187</t>
        </is>
      </c>
      <c r="D191" s="13" t="inlineStr">
        <is>
          <t>M/s Forever New Apparels Pvt. Ltd. (30/2024)</t>
        </is>
      </c>
      <c r="E191" s="13" t="inlineStr">
        <is>
          <t>26.04.2024</t>
        </is>
      </c>
      <c r="F191" s="13" t="inlineStr">
        <is>
          <t>27.08.2024</t>
        </is>
      </c>
      <c r="G191" s="13" t="inlineStr">
        <is>
          <t>2024</t>
        </is>
      </c>
      <c r="H191" s="13" t="inlineStr">
        <is>
          <t>Principle of valuation</t>
        </is>
      </c>
      <c r="I191" s="13" t="inlineStr">
        <is>
          <t>Valuation</t>
        </is>
      </c>
      <c r="J191" s="13" t="inlineStr">
        <is>
          <t>explicit</t>
        </is>
      </c>
      <c r="K191" s="13" t="inlineStr">
        <is>
          <t>CAAR/Del/Forever/46/2024</t>
        </is>
      </c>
      <c r="L191" s="14" t="inlineStr">
        <is>
          <t>https://www.cbic.gov.in/content/pdf/CONTENTREPO/CAAR/caar-delhi-46-updated-17092024.pdf</t>
        </is>
      </c>
      <c r="M191" s="13" t="inlineStr">
        <is>
          <t>YES</t>
        </is>
      </c>
    </row>
    <row r="192">
      <c r="A192" s="13" t="inlineStr">
        <is>
          <t>Delhi Rulings</t>
        </is>
      </c>
      <c r="B192" s="13" t="inlineStr">
        <is>
          <t>19</t>
        </is>
      </c>
      <c r="C192" s="13" t="inlineStr">
        <is>
          <t>188</t>
        </is>
      </c>
      <c r="D192" s="13" t="inlineStr">
        <is>
          <t>M/s Forever New Apparels Pvt. Ltd. (32/2024)</t>
        </is>
      </c>
      <c r="E192" s="13" t="inlineStr">
        <is>
          <t>26.04.2024</t>
        </is>
      </c>
      <c r="F192" s="13" t="inlineStr">
        <is>
          <t>27.08.2024</t>
        </is>
      </c>
      <c r="G192" s="13" t="inlineStr">
        <is>
          <t>2024</t>
        </is>
      </c>
      <c r="H192" s="13" t="inlineStr">
        <is>
          <t>Principle of valuation</t>
        </is>
      </c>
      <c r="I192" s="13" t="inlineStr">
        <is>
          <t>Valuation</t>
        </is>
      </c>
      <c r="J192" s="13" t="inlineStr">
        <is>
          <t>explicit</t>
        </is>
      </c>
      <c r="K192" s="13" t="inlineStr">
        <is>
          <t>CAAR/Del/Forever/45/2024</t>
        </is>
      </c>
      <c r="L192" s="14" t="inlineStr">
        <is>
          <t>https://www.cbic.gov.in/content/pdf/CONTENTREPO/CAAR/caar-delhi-45-updated-17092024.pdf</t>
        </is>
      </c>
      <c r="M192" s="13" t="inlineStr">
        <is>
          <t>YES</t>
        </is>
      </c>
    </row>
    <row r="193">
      <c r="A193" s="13" t="inlineStr">
        <is>
          <t>Delhi Rulings</t>
        </is>
      </c>
      <c r="B193" s="13" t="inlineStr">
        <is>
          <t>19</t>
        </is>
      </c>
      <c r="C193" s="13" t="inlineStr">
        <is>
          <t>189</t>
        </is>
      </c>
      <c r="D193" s="13" t="inlineStr">
        <is>
          <t>M/s Lujee International Company Ltd. (44/2024).</t>
        </is>
      </c>
      <c r="E193" s="13" t="inlineStr">
        <is>
          <t>18.06.2024</t>
        </is>
      </c>
      <c r="F193" s="13" t="inlineStr">
        <is>
          <t>21.08.2024</t>
        </is>
      </c>
      <c r="G193" s="13" t="inlineStr">
        <is>
          <t>2024</t>
        </is>
      </c>
      <c r="H193" s="13" t="inlineStr">
        <is>
          <t>Classification on import of “Roasted Areca Nut (Whole/cut/split)”.</t>
        </is>
      </c>
      <c r="I193" s="13" t="inlineStr">
        <is>
          <t>Classification</t>
        </is>
      </c>
      <c r="J193" s="13" t="inlineStr">
        <is>
          <t>explicit</t>
        </is>
      </c>
      <c r="K193" s="13" t="inlineStr">
        <is>
          <t>CAAR/Del/Lujee/44/2024</t>
        </is>
      </c>
      <c r="L193" s="14" t="inlineStr">
        <is>
          <t>https://www.cbic.gov.in/content/pdf/CONTENTREPO/CAAR/caar-del-44-11092024.pdf</t>
        </is>
      </c>
      <c r="M193" s="13" t="inlineStr">
        <is>
          <t>YES</t>
        </is>
      </c>
    </row>
    <row r="194">
      <c r="A194" s="13" t="inlineStr">
        <is>
          <t>Delhi Rulings</t>
        </is>
      </c>
      <c r="B194" s="13" t="inlineStr">
        <is>
          <t>19</t>
        </is>
      </c>
      <c r="C194" s="13" t="inlineStr">
        <is>
          <t>190</t>
        </is>
      </c>
      <c r="D194" s="13" t="inlineStr">
        <is>
          <t>M/s Lujee International Company Ltd. (43/2024).</t>
        </is>
      </c>
      <c r="E194" s="13" t="inlineStr">
        <is>
          <t>18.06.2024</t>
        </is>
      </c>
      <c r="F194" s="13" t="inlineStr">
        <is>
          <t>21.08.2024</t>
        </is>
      </c>
      <c r="G194" s="13" t="inlineStr">
        <is>
          <t>2024</t>
        </is>
      </c>
      <c r="H194" s="13" t="inlineStr">
        <is>
          <t>Classification on import of “Roasted Areca Nut (Whole/cut/split)”.</t>
        </is>
      </c>
      <c r="I194" s="13" t="inlineStr">
        <is>
          <t>Classification</t>
        </is>
      </c>
      <c r="J194" s="13" t="inlineStr">
        <is>
          <t>explicit</t>
        </is>
      </c>
      <c r="K194" s="13" t="inlineStr">
        <is>
          <t>CAAR/Del/Lujee/43/2024</t>
        </is>
      </c>
      <c r="L194" s="14" t="inlineStr">
        <is>
          <t>https://www.cbic.gov.in/content/pdf/CONTENTREPO/CAAR/caar-del-43-11092024.pdf</t>
        </is>
      </c>
      <c r="M194" s="13" t="inlineStr">
        <is>
          <t>YES</t>
        </is>
      </c>
    </row>
    <row r="195">
      <c r="A195" s="13" t="inlineStr">
        <is>
          <t>Delhi Rulings</t>
        </is>
      </c>
      <c r="B195" s="13" t="inlineStr">
        <is>
          <t>20</t>
        </is>
      </c>
      <c r="C195" s="13" t="inlineStr">
        <is>
          <t>191</t>
        </is>
      </c>
      <c r="D195" s="13" t="inlineStr">
        <is>
          <t>M/s Lujee International Company Ltd. (42/2024).</t>
        </is>
      </c>
      <c r="E195" s="13" t="inlineStr">
        <is>
          <t>18.06.2024</t>
        </is>
      </c>
      <c r="F195" s="13" t="inlineStr">
        <is>
          <t>21.08.2024</t>
        </is>
      </c>
      <c r="G195" s="13" t="inlineStr">
        <is>
          <t>2024</t>
        </is>
      </c>
      <c r="H195" s="13" t="inlineStr">
        <is>
          <t>Classification on import of “Roasted Areca Nut (Whole/cut/split)”.</t>
        </is>
      </c>
      <c r="I195" s="13" t="inlineStr">
        <is>
          <t>Classification</t>
        </is>
      </c>
      <c r="J195" s="13" t="inlineStr">
        <is>
          <t>explicit</t>
        </is>
      </c>
      <c r="K195" s="13" t="inlineStr">
        <is>
          <t>CAAR/Del/Lujee/42/2024</t>
        </is>
      </c>
      <c r="L195" s="14" t="inlineStr">
        <is>
          <t>https://www.cbic.gov.in/content/pdf/CONTENTREPO/CAAR/caar-del-42-11092024.pdf</t>
        </is>
      </c>
      <c r="M195" s="13" t="inlineStr">
        <is>
          <t>YES</t>
        </is>
      </c>
    </row>
    <row r="196">
      <c r="A196" s="13" t="inlineStr">
        <is>
          <t>Delhi Rulings</t>
        </is>
      </c>
      <c r="B196" s="13" t="inlineStr">
        <is>
          <t>20</t>
        </is>
      </c>
      <c r="C196" s="13" t="inlineStr">
        <is>
          <t>192</t>
        </is>
      </c>
      <c r="D196" s="13" t="inlineStr">
        <is>
          <t>M/s Lujee International Company Ltd.(50/2024)</t>
        </is>
      </c>
      <c r="E196" s="13" t="inlineStr">
        <is>
          <t>18.06.2024</t>
        </is>
      </c>
      <c r="F196" s="13" t="inlineStr">
        <is>
          <t>19.08.2024</t>
        </is>
      </c>
      <c r="G196" s="13" t="inlineStr">
        <is>
          <t>2024</t>
        </is>
      </c>
      <c r="H196" s="13" t="inlineStr">
        <is>
          <t>Classification on import of “Roasted Areca Nut (Whole/cut/split)”.</t>
        </is>
      </c>
      <c r="I196" s="13" t="inlineStr">
        <is>
          <t>Classification</t>
        </is>
      </c>
      <c r="J196" s="13" t="inlineStr">
        <is>
          <t>explicit</t>
        </is>
      </c>
      <c r="K196" s="13" t="inlineStr">
        <is>
          <t>CAAR/Del/Lujee/41/2024</t>
        </is>
      </c>
      <c r="L196" s="14" t="inlineStr">
        <is>
          <t>https://www.cbic.gov.in/content/pdf/CONTENTREPO/CAAR/lujee-41-20082024.pdf</t>
        </is>
      </c>
      <c r="M196" s="13" t="inlineStr">
        <is>
          <t>YES</t>
        </is>
      </c>
    </row>
    <row r="197">
      <c r="A197" s="13" t="inlineStr">
        <is>
          <t>Delhi Rulings</t>
        </is>
      </c>
      <c r="B197" s="13" t="inlineStr">
        <is>
          <t>20</t>
        </is>
      </c>
      <c r="C197" s="13" t="inlineStr">
        <is>
          <t>193</t>
        </is>
      </c>
      <c r="D197" s="13" t="inlineStr">
        <is>
          <t>M/s BMW India Pvt. Ltd</t>
        </is>
      </c>
      <c r="E197" s="13" t="inlineStr">
        <is>
          <t>27.05.2024</t>
        </is>
      </c>
      <c r="F197" s="13" t="inlineStr">
        <is>
          <t>16.08.2024</t>
        </is>
      </c>
      <c r="G197" s="13" t="inlineStr">
        <is>
          <t>2024</t>
        </is>
      </c>
      <c r="H197" s="13" t="inlineStr">
        <is>
          <t>Import of components/parts/ sub-assemblies</t>
        </is>
      </c>
      <c r="I197" s="13" t="inlineStr">
        <is>
          <t>Classification</t>
        </is>
      </c>
      <c r="J197" s="13" t="inlineStr">
        <is>
          <t>inferred</t>
        </is>
      </c>
      <c r="K197" s="13" t="inlineStr">
        <is>
          <t>CAAR/Del/BMW/40/2024</t>
        </is>
      </c>
      <c r="L197" s="14" t="inlineStr">
        <is>
          <t>https://www.cbic.gov.in/content/pdf/CONTENTREPO/CAAR/bmw-del-40-20082024.pdf</t>
        </is>
      </c>
      <c r="M197" s="13" t="inlineStr">
        <is>
          <t>YES</t>
        </is>
      </c>
    </row>
    <row r="198">
      <c r="A198" s="13" t="inlineStr">
        <is>
          <t>Delhi Rulings</t>
        </is>
      </c>
      <c r="B198" s="13" t="inlineStr">
        <is>
          <t>20</t>
        </is>
      </c>
      <c r="C198" s="13" t="inlineStr">
        <is>
          <t>194</t>
        </is>
      </c>
      <c r="D198" s="13" t="inlineStr">
        <is>
          <t>M/s Lujee International Company Ltd.(56/2024).</t>
        </is>
      </c>
      <c r="E198" s="13" t="inlineStr">
        <is>
          <t>25.06.2024</t>
        </is>
      </c>
      <c r="F198" s="13" t="inlineStr">
        <is>
          <t>06.08.2024</t>
        </is>
      </c>
      <c r="G198" s="13" t="inlineStr">
        <is>
          <t>2024</t>
        </is>
      </c>
      <c r="H198" s="13" t="inlineStr">
        <is>
          <t>Classification on import of “Roasted Areca Nut (Whole/cut/split)”.</t>
        </is>
      </c>
      <c r="I198" s="13" t="inlineStr">
        <is>
          <t>Classification</t>
        </is>
      </c>
      <c r="J198" s="13" t="inlineStr">
        <is>
          <t>explicit</t>
        </is>
      </c>
      <c r="K198" s="13" t="inlineStr">
        <is>
          <t>CAAR/Del/Lujee/39/2024</t>
        </is>
      </c>
      <c r="L198" s="14" t="inlineStr">
        <is>
          <t>https://www.cbic.gov.in/content/pdf/CONTENTREPO/CAAR/caar-del-39-lujee-08082024.pdf</t>
        </is>
      </c>
      <c r="M198" s="13" t="inlineStr">
        <is>
          <t>YES</t>
        </is>
      </c>
    </row>
    <row r="199">
      <c r="A199" s="13" t="inlineStr">
        <is>
          <t>Delhi Rulings</t>
        </is>
      </c>
      <c r="B199" s="13" t="inlineStr">
        <is>
          <t>20</t>
        </is>
      </c>
      <c r="C199" s="13" t="inlineStr">
        <is>
          <t>195</t>
        </is>
      </c>
      <c r="D199" s="13" t="inlineStr">
        <is>
          <t>M/s Amazon Wholesale India Pvt. Ltd. (35/2024).</t>
        </is>
      </c>
      <c r="E199" s="13" t="inlineStr">
        <is>
          <t>06.05.2024</t>
        </is>
      </c>
      <c r="F199" s="13" t="inlineStr">
        <is>
          <t>02.08.2024</t>
        </is>
      </c>
      <c r="G199" s="13" t="inlineStr">
        <is>
          <t>2024</t>
        </is>
      </c>
      <c r="H199" s="13" t="inlineStr">
        <is>
          <t>Classification on import of “Worksapces Thin Client”.</t>
        </is>
      </c>
      <c r="I199" s="13" t="inlineStr">
        <is>
          <t>Classification</t>
        </is>
      </c>
      <c r="J199" s="13" t="inlineStr">
        <is>
          <t>explicit</t>
        </is>
      </c>
      <c r="K199" s="13" t="inlineStr">
        <is>
          <t>CAAR/Del/Amazon/38/2024</t>
        </is>
      </c>
      <c r="L199" s="13" t="inlineStr"/>
      <c r="M199" s="13" t="inlineStr">
        <is>
          <t>NO</t>
        </is>
      </c>
    </row>
    <row r="200">
      <c r="A200" s="13" t="inlineStr">
        <is>
          <t>Delhi Rulings</t>
        </is>
      </c>
      <c r="B200" s="13" t="inlineStr">
        <is>
          <t>20</t>
        </is>
      </c>
      <c r="C200" s="13" t="inlineStr">
        <is>
          <t>196</t>
        </is>
      </c>
      <c r="D200" s="13" t="inlineStr">
        <is>
          <t>M/s DI PEC Exim LLP (37/2024).</t>
        </is>
      </c>
      <c r="E200" s="13" t="inlineStr">
        <is>
          <t>04.06.2024</t>
        </is>
      </c>
      <c r="F200" s="13" t="inlineStr">
        <is>
          <t>31.07.2024</t>
        </is>
      </c>
      <c r="G200" s="13" t="inlineStr">
        <is>
          <t>2024</t>
        </is>
      </c>
      <c r="H200" s="13" t="inlineStr">
        <is>
          <t>Classification on import of “Roasted Areca Nut (Whole/cut/split)”.</t>
        </is>
      </c>
      <c r="I200" s="13" t="inlineStr">
        <is>
          <t>Classification</t>
        </is>
      </c>
      <c r="J200" s="13" t="inlineStr">
        <is>
          <t>explicit</t>
        </is>
      </c>
      <c r="K200" s="13" t="inlineStr">
        <is>
          <t>CAAR/Del/DI PEC/37/2024</t>
        </is>
      </c>
      <c r="L200" s="14" t="inlineStr">
        <is>
          <t>https://www.cbic.gov.in/content/pdf/CONTENTREPO/CAAR/car-del-37-01082024.pdf</t>
        </is>
      </c>
      <c r="M200" s="13" t="inlineStr">
        <is>
          <t>YES</t>
        </is>
      </c>
    </row>
    <row r="201">
      <c r="A201" s="13" t="inlineStr">
        <is>
          <t>Delhi Rulings</t>
        </is>
      </c>
      <c r="B201" s="13" t="inlineStr">
        <is>
          <t>20</t>
        </is>
      </c>
      <c r="C201" s="13" t="inlineStr">
        <is>
          <t>197</t>
        </is>
      </c>
      <c r="D201" s="13" t="inlineStr">
        <is>
          <t>M/s DI PEC Exim LLP (36/2024).</t>
        </is>
      </c>
      <c r="E201" s="13" t="inlineStr">
        <is>
          <t>04.06.2024</t>
        </is>
      </c>
      <c r="F201" s="13" t="inlineStr">
        <is>
          <t>26.07.2024</t>
        </is>
      </c>
      <c r="G201" s="13" t="inlineStr">
        <is>
          <t>2024</t>
        </is>
      </c>
      <c r="H201" s="13" t="inlineStr">
        <is>
          <t>Classification on import of “Roasted Areca Nut (Whole/cut/split)”.</t>
        </is>
      </c>
      <c r="I201" s="13" t="inlineStr">
        <is>
          <t>Classification</t>
        </is>
      </c>
      <c r="J201" s="13" t="inlineStr">
        <is>
          <t>explicit</t>
        </is>
      </c>
      <c r="K201" s="13" t="inlineStr">
        <is>
          <t>CAAR/Del/DI PEC/36/2024</t>
        </is>
      </c>
      <c r="L201" s="14" t="inlineStr">
        <is>
          <t>https://www.cbic.gov.in/content/pdf/CONTENTREPO/CAAR/car-del-36-01082024.pdf</t>
        </is>
      </c>
      <c r="M201" s="13" t="inlineStr">
        <is>
          <t>YES</t>
        </is>
      </c>
    </row>
    <row r="202">
      <c r="A202" s="13" t="inlineStr">
        <is>
          <t>Delhi Rulings</t>
        </is>
      </c>
      <c r="B202" s="13" t="inlineStr">
        <is>
          <t>20</t>
        </is>
      </c>
      <c r="C202" s="13" t="inlineStr">
        <is>
          <t>198</t>
        </is>
      </c>
      <c r="D202" s="13" t="inlineStr">
        <is>
          <t>M/s DI PEC Exim LLP (35/2024).</t>
        </is>
      </c>
      <c r="E202" s="13" t="inlineStr">
        <is>
          <t>04.06.2024</t>
        </is>
      </c>
      <c r="F202" s="13" t="inlineStr">
        <is>
          <t>26.07.2024</t>
        </is>
      </c>
      <c r="G202" s="13" t="inlineStr">
        <is>
          <t>2024</t>
        </is>
      </c>
      <c r="H202" s="13" t="inlineStr">
        <is>
          <t>Classification on import of “Roasted Areca Nut (Whole/cut/split)”.</t>
        </is>
      </c>
      <c r="I202" s="13" t="inlineStr">
        <is>
          <t>Classification</t>
        </is>
      </c>
      <c r="J202" s="13" t="inlineStr">
        <is>
          <t>explicit</t>
        </is>
      </c>
      <c r="K202" s="13" t="inlineStr">
        <is>
          <t>CAAR/Del/DI PEC/35/2024</t>
        </is>
      </c>
      <c r="L202" s="14" t="inlineStr">
        <is>
          <t>https://www.cbic.gov.in/content/pdf/CONTENTREPO/CAAR/car-del-35-01082024.pdf</t>
        </is>
      </c>
      <c r="M202" s="13" t="inlineStr">
        <is>
          <t>YES</t>
        </is>
      </c>
    </row>
    <row r="203">
      <c r="A203" s="13" t="inlineStr">
        <is>
          <t>Delhi Rulings</t>
        </is>
      </c>
      <c r="B203" s="13" t="inlineStr">
        <is>
          <t>20</t>
        </is>
      </c>
      <c r="C203" s="13" t="inlineStr">
        <is>
          <t>199</t>
        </is>
      </c>
      <c r="D203" s="13" t="inlineStr">
        <is>
          <t>M/s DI PEC Exim LLP (34/2024).</t>
        </is>
      </c>
      <c r="E203" s="13" t="inlineStr">
        <is>
          <t>04.06.2024</t>
        </is>
      </c>
      <c r="F203" s="13" t="inlineStr">
        <is>
          <t>25.07.2024</t>
        </is>
      </c>
      <c r="G203" s="13" t="inlineStr">
        <is>
          <t>2024</t>
        </is>
      </c>
      <c r="H203" s="13" t="inlineStr">
        <is>
          <t>Classification on import of “Roasted Areca Nut (Whole/cut/split)”.</t>
        </is>
      </c>
      <c r="I203" s="13" t="inlineStr">
        <is>
          <t>Classification</t>
        </is>
      </c>
      <c r="J203" s="13" t="inlineStr">
        <is>
          <t>explicit</t>
        </is>
      </c>
      <c r="K203" s="13" t="inlineStr">
        <is>
          <t>CAAR/Del/DI PEC/34/2024</t>
        </is>
      </c>
      <c r="L203" s="14" t="inlineStr">
        <is>
          <t>https://www.cbic.gov.in/content/pdf/CONTENTREPO/CAAR/car-del-34-01082024.pdf</t>
        </is>
      </c>
      <c r="M203" s="13" t="inlineStr">
        <is>
          <t>YES</t>
        </is>
      </c>
    </row>
    <row r="204">
      <c r="A204" s="13" t="inlineStr">
        <is>
          <t>Delhi Rulings</t>
        </is>
      </c>
      <c r="B204" s="13" t="inlineStr">
        <is>
          <t>20</t>
        </is>
      </c>
      <c r="C204" s="13" t="inlineStr">
        <is>
          <t>200</t>
        </is>
      </c>
      <c r="D204" s="13" t="inlineStr">
        <is>
          <t>M/s Inditex Trent Retail India Pvt. Ltd.</t>
        </is>
      </c>
      <c r="E204" s="13" t="inlineStr">
        <is>
          <t>01.05.2024</t>
        </is>
      </c>
      <c r="F204" s="13" t="inlineStr">
        <is>
          <t>19.07.2024</t>
        </is>
      </c>
      <c r="G204" s="13" t="inlineStr">
        <is>
          <t>2024</t>
        </is>
      </c>
      <c r="H204" s="13" t="inlineStr">
        <is>
          <t>Origin Criteria as per Notification 189/2019 dated 31.12.2009 on import of “Footwear of ZARA brand t</t>
        </is>
      </c>
      <c r="I204" s="13" t="inlineStr">
        <is>
          <t>Exemption</t>
        </is>
      </c>
      <c r="J204" s="13" t="inlineStr">
        <is>
          <t>explicit</t>
        </is>
      </c>
      <c r="K204" s="13" t="inlineStr">
        <is>
          <t>CAAR/Del/Inditex/33/2024</t>
        </is>
      </c>
      <c r="L204" s="13" t="inlineStr"/>
      <c r="M204" s="13" t="inlineStr">
        <is>
          <t>NO</t>
        </is>
      </c>
    </row>
    <row r="205">
      <c r="A205" s="13" t="inlineStr">
        <is>
          <t>Delhi Rulings</t>
        </is>
      </c>
      <c r="B205" s="13" t="inlineStr">
        <is>
          <t>21</t>
        </is>
      </c>
      <c r="C205" s="13" t="inlineStr">
        <is>
          <t>201</t>
        </is>
      </c>
      <c r="D205" s="13" t="inlineStr">
        <is>
          <t>M/s DI PEC Exim LLP (45/2024).</t>
        </is>
      </c>
      <c r="E205" s="13" t="inlineStr">
        <is>
          <t>04.06.2024</t>
        </is>
      </c>
      <c r="F205" s="13" t="inlineStr">
        <is>
          <t>16.07.2024</t>
        </is>
      </c>
      <c r="G205" s="13" t="inlineStr">
        <is>
          <t>2024</t>
        </is>
      </c>
      <c r="H205" s="13" t="inlineStr">
        <is>
          <t>Classification on import of “Roasted Areca Nut (Whole/cut/split)”.</t>
        </is>
      </c>
      <c r="I205" s="13" t="inlineStr">
        <is>
          <t>Classification</t>
        </is>
      </c>
      <c r="J205" s="13" t="inlineStr">
        <is>
          <t>explicit</t>
        </is>
      </c>
      <c r="K205" s="13" t="inlineStr">
        <is>
          <t>CAAR/Del/DI PEC/32/2024</t>
        </is>
      </c>
      <c r="L205" s="14" t="inlineStr">
        <is>
          <t>https://www.cbic.gov.in/content/pdf/CONTENTREPO/CAAR/classification-caar-delhi-19072024.pdf</t>
        </is>
      </c>
      <c r="M205" s="13" t="inlineStr">
        <is>
          <t>YES</t>
        </is>
      </c>
    </row>
    <row r="206">
      <c r="A206" s="13" t="inlineStr">
        <is>
          <t>Delhi Rulings</t>
        </is>
      </c>
      <c r="B206" s="13" t="inlineStr">
        <is>
          <t>21</t>
        </is>
      </c>
      <c r="C206" s="13" t="inlineStr">
        <is>
          <t>202</t>
        </is>
      </c>
      <c r="D206" s="13" t="inlineStr">
        <is>
          <t>M/s DI PEC Exim LLP (44/2024)</t>
        </is>
      </c>
      <c r="E206" s="13" t="inlineStr">
        <is>
          <t>04.06.2024</t>
        </is>
      </c>
      <c r="F206" s="13" t="inlineStr">
        <is>
          <t>10.07.2024</t>
        </is>
      </c>
      <c r="G206" s="13" t="inlineStr">
        <is>
          <t>2024</t>
        </is>
      </c>
      <c r="H206" s="13" t="inlineStr">
        <is>
          <t>Classification on import of “Roasted Areca Nut (Whole/cut/split)”.</t>
        </is>
      </c>
      <c r="I206" s="13" t="inlineStr">
        <is>
          <t>Classification</t>
        </is>
      </c>
      <c r="J206" s="13" t="inlineStr">
        <is>
          <t>explicit</t>
        </is>
      </c>
      <c r="K206" s="13" t="inlineStr">
        <is>
          <t>CAAR/Del/DI PEC/31/2024</t>
        </is>
      </c>
      <c r="L206" s="14" t="inlineStr">
        <is>
          <t>https://www.cbic.gov.in/content/pdf/CONTENTREPO/CAAR/di_pec_31.pdf</t>
        </is>
      </c>
      <c r="M206" s="13" t="inlineStr">
        <is>
          <t>YES</t>
        </is>
      </c>
    </row>
    <row r="207">
      <c r="A207" s="13" t="inlineStr">
        <is>
          <t>Delhi Rulings</t>
        </is>
      </c>
      <c r="B207" s="13" t="inlineStr">
        <is>
          <t>21</t>
        </is>
      </c>
      <c r="C207" s="13" t="inlineStr">
        <is>
          <t>203</t>
        </is>
      </c>
      <c r="D207" s="13" t="inlineStr">
        <is>
          <t>M/s Exim Incorporation</t>
        </is>
      </c>
      <c r="E207" s="13" t="inlineStr">
        <is>
          <t>19.06.2024</t>
        </is>
      </c>
      <c r="F207" s="13" t="inlineStr">
        <is>
          <t>05.07.2024</t>
        </is>
      </c>
      <c r="G207" s="13" t="inlineStr">
        <is>
          <t>2024</t>
        </is>
      </c>
      <c r="H207" s="13" t="inlineStr">
        <is>
          <t>Classification on import of “Roasted Areca Nut Whole/cut/split”.</t>
        </is>
      </c>
      <c r="I207" s="13" t="inlineStr">
        <is>
          <t>Classification</t>
        </is>
      </c>
      <c r="J207" s="13" t="inlineStr">
        <is>
          <t>explicit</t>
        </is>
      </c>
      <c r="K207" s="13" t="inlineStr">
        <is>
          <t>CAAR/Del/Exim/30/2024</t>
        </is>
      </c>
      <c r="L207" s="14" t="inlineStr">
        <is>
          <t>https://www.cbic.gov.in/content/pdf/CONTENTREPO/CAAR/Exim.pdf</t>
        </is>
      </c>
      <c r="M207" s="13" t="inlineStr">
        <is>
          <t>YES</t>
        </is>
      </c>
    </row>
    <row r="208">
      <c r="A208" s="13" t="inlineStr">
        <is>
          <t>Delhi Rulings</t>
        </is>
      </c>
      <c r="B208" s="13" t="inlineStr">
        <is>
          <t>21</t>
        </is>
      </c>
      <c r="C208" s="13" t="inlineStr">
        <is>
          <t>204</t>
        </is>
      </c>
      <c r="D208" s="13" t="inlineStr">
        <is>
          <t>M/s Prenda Creations India Pvt. Ltd.</t>
        </is>
      </c>
      <c r="E208" s="13" t="inlineStr">
        <is>
          <t>16.04.2024</t>
        </is>
      </c>
      <c r="F208" s="13" t="inlineStr">
        <is>
          <t>26.06.2024</t>
        </is>
      </c>
      <c r="G208" s="13" t="inlineStr">
        <is>
          <t>2024</t>
        </is>
      </c>
      <c r="H208" s="13" t="inlineStr">
        <is>
          <t>Classification and Exemption notification applicability on import of “Areca Nut Whole/cut”.</t>
        </is>
      </c>
      <c r="I208" s="13" t="inlineStr">
        <is>
          <t>Exemption</t>
        </is>
      </c>
      <c r="J208" s="13" t="inlineStr">
        <is>
          <t>explicit</t>
        </is>
      </c>
      <c r="K208" s="13" t="inlineStr">
        <is>
          <t>CAAR/Del/Prenda/29/2024</t>
        </is>
      </c>
      <c r="L208" s="14" t="inlineStr">
        <is>
          <t>https://www.cbic.gov.in/content/pdf/CONTENTREPO/CAAR/Prenda-creations_updated_03072024.pdf</t>
        </is>
      </c>
      <c r="M208" s="13" t="inlineStr">
        <is>
          <t>YES</t>
        </is>
      </c>
    </row>
    <row r="209">
      <c r="A209" s="13" t="inlineStr">
        <is>
          <t>Delhi Rulings</t>
        </is>
      </c>
      <c r="B209" s="13" t="inlineStr">
        <is>
          <t>21</t>
        </is>
      </c>
      <c r="C209" s="13" t="inlineStr">
        <is>
          <t>205</t>
        </is>
      </c>
      <c r="D209" s="13" t="inlineStr">
        <is>
          <t>M/s ShreeHari Ananta Overseas Pvt. Ltd.</t>
        </is>
      </c>
      <c r="E209" s="13" t="inlineStr">
        <is>
          <t>13.05.2024</t>
        </is>
      </c>
      <c r="F209" s="13" t="inlineStr">
        <is>
          <t>28.06.2024</t>
        </is>
      </c>
      <c r="G209" s="13" t="inlineStr">
        <is>
          <t>2024</t>
        </is>
      </c>
      <c r="H209" s="13" t="inlineStr">
        <is>
          <t>Classification on import of “Areca Nut Whole/cut”.</t>
        </is>
      </c>
      <c r="I209" s="13" t="inlineStr">
        <is>
          <t>Classification</t>
        </is>
      </c>
      <c r="J209" s="13" t="inlineStr">
        <is>
          <t>explicit</t>
        </is>
      </c>
      <c r="K209" s="13" t="inlineStr">
        <is>
          <t>CAAR/Del/Shreehari/28/2024</t>
        </is>
      </c>
      <c r="L209" s="14" t="inlineStr">
        <is>
          <t>https://www.cbic.gov.in/content/pdf/CONTENTREPO/CAAR/ShreeHari_Ananta_Overseas_updated_03072024.pdf</t>
        </is>
      </c>
      <c r="M209" s="13" t="inlineStr">
        <is>
          <t>YES</t>
        </is>
      </c>
    </row>
    <row r="210">
      <c r="A210" s="13" t="inlineStr">
        <is>
          <t>Delhi Rulings</t>
        </is>
      </c>
      <c r="B210" s="13" t="inlineStr">
        <is>
          <t>21</t>
        </is>
      </c>
      <c r="C210" s="13" t="inlineStr">
        <is>
          <t>206</t>
        </is>
      </c>
      <c r="D210" s="13" t="inlineStr">
        <is>
          <t>M/s Winone Precision Technology India Pvt. Ltd.</t>
        </is>
      </c>
      <c r="E210" s="13" t="inlineStr">
        <is>
          <t>01.04.2024</t>
        </is>
      </c>
      <c r="F210" s="13" t="inlineStr">
        <is>
          <t>24.06.2024</t>
        </is>
      </c>
      <c r="G210" s="13" t="inlineStr">
        <is>
          <t>2024</t>
        </is>
      </c>
      <c r="H210" s="13" t="inlineStr">
        <is>
          <t>Classification and notification applicability on import of “mobile phone cover in finished form &amp; r</t>
        </is>
      </c>
      <c r="I210" s="13" t="inlineStr">
        <is>
          <t>Exemption</t>
        </is>
      </c>
      <c r="J210" s="13" t="inlineStr">
        <is>
          <t>explicit</t>
        </is>
      </c>
      <c r="K210" s="13" t="inlineStr">
        <is>
          <t>CAAR/Del/Winone/27/2024</t>
        </is>
      </c>
      <c r="L210" s="13" t="inlineStr"/>
      <c r="M210" s="13" t="inlineStr">
        <is>
          <t>NO</t>
        </is>
      </c>
    </row>
    <row r="211">
      <c r="A211" s="13" t="inlineStr">
        <is>
          <t>Delhi Rulings</t>
        </is>
      </c>
      <c r="B211" s="13" t="inlineStr">
        <is>
          <t>21</t>
        </is>
      </c>
      <c r="C211" s="13" t="inlineStr">
        <is>
          <t>207</t>
        </is>
      </c>
      <c r="D211" s="13" t="inlineStr">
        <is>
          <t>M/s Winone Precision Technology India Pvt. Ltd.</t>
        </is>
      </c>
      <c r="E211" s="13" t="inlineStr">
        <is>
          <t>01.04.2024</t>
        </is>
      </c>
      <c r="F211" s="13" t="inlineStr">
        <is>
          <t>24.06.2024</t>
        </is>
      </c>
      <c r="G211" s="13" t="inlineStr">
        <is>
          <t>2024</t>
        </is>
      </c>
      <c r="H211" s="13" t="inlineStr">
        <is>
          <t>Classification and notification applicability on import of “mobile phone cover in finished form &amp; r</t>
        </is>
      </c>
      <c r="I211" s="13" t="inlineStr">
        <is>
          <t>Exemption</t>
        </is>
      </c>
      <c r="J211" s="13" t="inlineStr">
        <is>
          <t>explicit</t>
        </is>
      </c>
      <c r="K211" s="13" t="inlineStr">
        <is>
          <t>CAAR/Del/Winone/26/2024</t>
        </is>
      </c>
      <c r="L211" s="13" t="inlineStr"/>
      <c r="M211" s="13" t="inlineStr">
        <is>
          <t>NO</t>
        </is>
      </c>
    </row>
    <row r="212">
      <c r="A212" s="13" t="inlineStr">
        <is>
          <t>Delhi Rulings</t>
        </is>
      </c>
      <c r="B212" s="13" t="inlineStr">
        <is>
          <t>21</t>
        </is>
      </c>
      <c r="C212" s="13" t="inlineStr">
        <is>
          <t>208</t>
        </is>
      </c>
      <c r="D212" s="13" t="inlineStr">
        <is>
          <t>M/s Denso Haryana Pvt. Ltd.</t>
        </is>
      </c>
      <c r="E212" s="13" t="inlineStr">
        <is>
          <t>26.03.2024</t>
        </is>
      </c>
      <c r="F212" s="13" t="inlineStr">
        <is>
          <t>06.06.2024</t>
        </is>
      </c>
      <c r="G212" s="13" t="inlineStr">
        <is>
          <t>2024</t>
        </is>
      </c>
      <c r="H212" s="13" t="inlineStr">
        <is>
          <t>Classification and notification applicability on import of Telematics Control Unit.</t>
        </is>
      </c>
      <c r="I212" s="13" t="inlineStr">
        <is>
          <t>Exemption</t>
        </is>
      </c>
      <c r="J212" s="13" t="inlineStr">
        <is>
          <t>explicit</t>
        </is>
      </c>
      <c r="K212" s="13" t="inlineStr">
        <is>
          <t>CAAR/Del/Denso/25/2024</t>
        </is>
      </c>
      <c r="L212" s="14" t="inlineStr">
        <is>
          <t>https://www.cbic.gov.in/content/pdf/CONTENTREPO/CAAR/caar-del-25-Denso-10062024.pdf</t>
        </is>
      </c>
      <c r="M212" s="13" t="inlineStr">
        <is>
          <t>YES</t>
        </is>
      </c>
    </row>
    <row r="213">
      <c r="A213" s="13" t="inlineStr">
        <is>
          <t>Delhi Rulings</t>
        </is>
      </c>
      <c r="B213" s="13" t="inlineStr">
        <is>
          <t>21</t>
        </is>
      </c>
      <c r="C213" s="13" t="inlineStr">
        <is>
          <t>209</t>
        </is>
      </c>
      <c r="D213" s="13" t="inlineStr">
        <is>
          <t>M/s Denso Haryana Pvt. Ltd.</t>
        </is>
      </c>
      <c r="E213" s="13" t="inlineStr">
        <is>
          <t>26.03.2024</t>
        </is>
      </c>
      <c r="F213" s="13" t="inlineStr">
        <is>
          <t>06.06.2024</t>
        </is>
      </c>
      <c r="G213" s="13" t="inlineStr">
        <is>
          <t>2024</t>
        </is>
      </c>
      <c r="H213" s="13" t="inlineStr">
        <is>
          <t>Classification and notification applicability on import of Inverter Assembly.</t>
        </is>
      </c>
      <c r="I213" s="13" t="inlineStr">
        <is>
          <t>Exemption</t>
        </is>
      </c>
      <c r="J213" s="13" t="inlineStr">
        <is>
          <t>explicit</t>
        </is>
      </c>
      <c r="K213" s="13" t="inlineStr">
        <is>
          <t>CAAR/Del/Denso/24/2024</t>
        </is>
      </c>
      <c r="L213" s="14" t="inlineStr">
        <is>
          <t>https://www.cbic.gov.in/content/pdf/CONTENTREPO/CAAR/caar-del-24-Denso-10062024.pdf</t>
        </is>
      </c>
      <c r="M213" s="13" t="inlineStr">
        <is>
          <t>YES</t>
        </is>
      </c>
    </row>
    <row r="214">
      <c r="A214" s="13" t="inlineStr">
        <is>
          <t>Delhi Rulings</t>
        </is>
      </c>
      <c r="B214" s="13" t="inlineStr">
        <is>
          <t>21</t>
        </is>
      </c>
      <c r="C214" s="13" t="inlineStr">
        <is>
          <t>210</t>
        </is>
      </c>
      <c r="D214" s="13" t="inlineStr">
        <is>
          <t>M/s Denso Haryana Pvt. Ltd.</t>
        </is>
      </c>
      <c r="E214" s="13" t="inlineStr">
        <is>
          <t>26.03.2024</t>
        </is>
      </c>
      <c r="F214" s="13" t="inlineStr">
        <is>
          <t>06.06.2024</t>
        </is>
      </c>
      <c r="G214" s="13" t="inlineStr">
        <is>
          <t>2024</t>
        </is>
      </c>
      <c r="H214" s="13" t="inlineStr">
        <is>
          <t>Classification and notification applicability on import of Inverter Assembly.</t>
        </is>
      </c>
      <c r="I214" s="13" t="inlineStr">
        <is>
          <t>Exemption</t>
        </is>
      </c>
      <c r="J214" s="13" t="inlineStr">
        <is>
          <t>explicit</t>
        </is>
      </c>
      <c r="K214" s="13" t="inlineStr">
        <is>
          <t>CAAR/Del/Denso/23/2024</t>
        </is>
      </c>
      <c r="L214" s="14" t="inlineStr">
        <is>
          <t>https://www.cbic.gov.in/content/pdf/CONTENTREPO/CAAR/caar-del-23-Denso-10062024.pdf</t>
        </is>
      </c>
      <c r="M214" s="13" t="inlineStr">
        <is>
          <t>YES</t>
        </is>
      </c>
    </row>
    <row r="215">
      <c r="A215" s="13" t="inlineStr">
        <is>
          <t>Delhi Rulings</t>
        </is>
      </c>
      <c r="B215" s="13" t="inlineStr">
        <is>
          <t>22</t>
        </is>
      </c>
      <c r="C215" s="13" t="inlineStr">
        <is>
          <t>211</t>
        </is>
      </c>
      <c r="D215" s="13" t="inlineStr">
        <is>
          <t>M/Samsung Display Noida Pvt Ltd. (16/2024)</t>
        </is>
      </c>
      <c r="E215" s="13" t="inlineStr">
        <is>
          <t>11/03/2024</t>
        </is>
      </c>
      <c r="F215" s="13" t="inlineStr">
        <is>
          <t>04/06/2024</t>
        </is>
      </c>
      <c r="G215" s="13" t="inlineStr">
        <is>
          <t>2024</t>
        </is>
      </c>
      <c r="H215" s="13" t="inlineStr">
        <is>
          <t>Notification applicability on inputs &amp; parts for use in manufacturing of display assemblies</t>
        </is>
      </c>
      <c r="I215" s="13" t="inlineStr">
        <is>
          <t>Exemption</t>
        </is>
      </c>
      <c r="J215" s="13" t="inlineStr">
        <is>
          <t>explicit</t>
        </is>
      </c>
      <c r="K215" s="13" t="inlineStr">
        <is>
          <t>CAAR/Del/Samsung Display/22/2024</t>
        </is>
      </c>
      <c r="L215" s="14" t="inlineStr">
        <is>
          <t>https://www.cbic.gov.in/content/pdf/CONTENTREPO/CAAR/caar-del-samsung-delhi-22-06062024.pdf</t>
        </is>
      </c>
      <c r="M215" s="13" t="inlineStr">
        <is>
          <t>YES</t>
        </is>
      </c>
    </row>
    <row r="216">
      <c r="A216" s="13" t="inlineStr">
        <is>
          <t>Delhi Rulings</t>
        </is>
      </c>
      <c r="B216" s="13" t="inlineStr">
        <is>
          <t>22</t>
        </is>
      </c>
      <c r="C216" s="13" t="inlineStr">
        <is>
          <t>212</t>
        </is>
      </c>
      <c r="D216" s="13" t="inlineStr">
        <is>
          <t>M/s Denso Haryana Private Limited (23/2024).</t>
        </is>
      </c>
      <c r="E216" s="13" t="inlineStr">
        <is>
          <t>26.03.2024</t>
        </is>
      </c>
      <c r="F216" s="13" t="inlineStr">
        <is>
          <t>30.05.2024</t>
        </is>
      </c>
      <c r="G216" s="13" t="inlineStr">
        <is>
          <t>2024</t>
        </is>
      </c>
      <c r="H216" s="13" t="inlineStr">
        <is>
          <t>Classification and notification applicability on Inverter Assembly</t>
        </is>
      </c>
      <c r="I216" s="13" t="inlineStr">
        <is>
          <t>Exemption</t>
        </is>
      </c>
      <c r="J216" s="13" t="inlineStr">
        <is>
          <t>explicit</t>
        </is>
      </c>
      <c r="K216" s="13" t="inlineStr">
        <is>
          <t>CAAR/Del/Denso/20/2024</t>
        </is>
      </c>
      <c r="L216" s="14" t="inlineStr">
        <is>
          <t>https://www.cbic.gov.in/content/pdf/CONTENTREPO/CAAR/caar-del-denso-18-05062024.pdf</t>
        </is>
      </c>
      <c r="M216" s="13" t="inlineStr">
        <is>
          <t>YES</t>
        </is>
      </c>
    </row>
    <row r="217">
      <c r="A217" s="13" t="inlineStr">
        <is>
          <t>Delhi Rulings</t>
        </is>
      </c>
      <c r="B217" s="13" t="inlineStr">
        <is>
          <t>22</t>
        </is>
      </c>
      <c r="C217" s="13" t="inlineStr">
        <is>
          <t>213</t>
        </is>
      </c>
      <c r="D217" s="13" t="inlineStr">
        <is>
          <t>M/s Denso Haryana Private Limited (19/2024)</t>
        </is>
      </c>
      <c r="E217" s="13" t="inlineStr">
        <is>
          <t>26.03.2024</t>
        </is>
      </c>
      <c r="F217" s="13" t="inlineStr">
        <is>
          <t>30.05.2024</t>
        </is>
      </c>
      <c r="G217" s="13" t="inlineStr">
        <is>
          <t>2024</t>
        </is>
      </c>
      <c r="H217" s="13" t="inlineStr">
        <is>
          <t>Classification and notification applicability Telematics Control Unit</t>
        </is>
      </c>
      <c r="I217" s="13" t="inlineStr">
        <is>
          <t>Exemption</t>
        </is>
      </c>
      <c r="J217" s="13" t="inlineStr">
        <is>
          <t>explicit</t>
        </is>
      </c>
      <c r="K217" s="13" t="inlineStr">
        <is>
          <t>Corrigendum</t>
        </is>
      </c>
      <c r="L217" s="14" t="inlineStr">
        <is>
          <t>https://www.cbic.gov.in/content/pdf/CONTENTREPO/CAAR/denso-ruling-18062024-delhi.pdf</t>
        </is>
      </c>
      <c r="M217" s="13" t="inlineStr">
        <is>
          <t>YES</t>
        </is>
      </c>
    </row>
    <row r="218">
      <c r="A218" s="13" t="inlineStr">
        <is>
          <t>Delhi Rulings</t>
        </is>
      </c>
      <c r="B218" s="13" t="inlineStr">
        <is>
          <t>22</t>
        </is>
      </c>
      <c r="C218" s="13" t="inlineStr">
        <is>
          <t>214</t>
        </is>
      </c>
      <c r="D218" s="13" t="inlineStr">
        <is>
          <t>M/s Vaibhav Enterprises.</t>
        </is>
      </c>
      <c r="E218" s="13" t="inlineStr">
        <is>
          <t>18.03.2024</t>
        </is>
      </c>
      <c r="F218" s="13" t="inlineStr">
        <is>
          <t>27.05.2024</t>
        </is>
      </c>
      <c r="G218" s="13" t="inlineStr">
        <is>
          <t>2024</t>
        </is>
      </c>
      <c r="H218" s="13" t="inlineStr">
        <is>
          <t>Classification of the subject goods [Roasted Areca Nut (Whole), Roasted Areca Nut (Split) &amp; Roasted</t>
        </is>
      </c>
      <c r="I218" s="13" t="inlineStr">
        <is>
          <t>Classification</t>
        </is>
      </c>
      <c r="J218" s="13" t="inlineStr">
        <is>
          <t>explicit</t>
        </is>
      </c>
      <c r="K218" s="13" t="inlineStr">
        <is>
          <t>CAAR/Del/Vaibhav/19/2024</t>
        </is>
      </c>
      <c r="L218" s="14" t="inlineStr">
        <is>
          <t>https://www.cbic.gov.in/content/pdf/CONTENTREPO/CAAR/caar-del-19-vaibhav-28052024.pdf</t>
        </is>
      </c>
      <c r="M218" s="13" t="inlineStr">
        <is>
          <t>YES</t>
        </is>
      </c>
    </row>
    <row r="219">
      <c r="A219" s="13" t="inlineStr">
        <is>
          <t>Delhi Rulings</t>
        </is>
      </c>
      <c r="B219" s="13" t="inlineStr">
        <is>
          <t>22</t>
        </is>
      </c>
      <c r="C219" s="13" t="inlineStr">
        <is>
          <t>215</t>
        </is>
      </c>
      <c r="D219" s="13" t="inlineStr">
        <is>
          <t>M/s Exim Incorporation.</t>
        </is>
      </c>
      <c r="E219" s="13" t="inlineStr">
        <is>
          <t>30.04.2024</t>
        </is>
      </c>
      <c r="F219" s="13" t="inlineStr">
        <is>
          <t>27.05.2024</t>
        </is>
      </c>
      <c r="G219" s="13" t="inlineStr">
        <is>
          <t>2024</t>
        </is>
      </c>
      <c r="H219" s="13" t="inlineStr">
        <is>
          <t>Classification of the subject goods [Roasted Areca Nut (Whole), Roasted Areca Nut(Split) &amp; Roasted A</t>
        </is>
      </c>
      <c r="I219" s="13" t="inlineStr">
        <is>
          <t>Classification</t>
        </is>
      </c>
      <c r="J219" s="13" t="inlineStr">
        <is>
          <t>explicit</t>
        </is>
      </c>
      <c r="K219" s="13" t="inlineStr">
        <is>
          <t>CAAR/Del/Exim/18/2024</t>
        </is>
      </c>
      <c r="L219" s="14" t="inlineStr">
        <is>
          <t>https://www.cbic.gov.in/content/pdf/CONTENTREPO/CAAR/caar-del-18-exim-28052024.pdf</t>
        </is>
      </c>
      <c r="M219" s="13" t="inlineStr">
        <is>
          <t>YES</t>
        </is>
      </c>
    </row>
    <row r="220">
      <c r="A220" s="13" t="inlineStr">
        <is>
          <t>Delhi Rulings</t>
        </is>
      </c>
      <c r="B220" s="13" t="inlineStr">
        <is>
          <t>22</t>
        </is>
      </c>
      <c r="C220" s="13" t="inlineStr">
        <is>
          <t>216</t>
        </is>
      </c>
      <c r="D220" s="13" t="inlineStr">
        <is>
          <t>M/s Elentec India Pvt Ltd.</t>
        </is>
      </c>
      <c r="E220" s="13" t="inlineStr">
        <is>
          <t>05.03.2024</t>
        </is>
      </c>
      <c r="F220" s="13" t="inlineStr">
        <is>
          <t>21.05.2024</t>
        </is>
      </c>
      <c r="G220" s="13" t="inlineStr">
        <is>
          <t>2024</t>
        </is>
      </c>
      <c r="H220" s="13" t="inlineStr">
        <is>
          <t>Classification and Notification of the subject goods [Parts to manufacture ASSY-Case front]</t>
        </is>
      </c>
      <c r="I220" s="13" t="inlineStr">
        <is>
          <t>Exemption</t>
        </is>
      </c>
      <c r="J220" s="13" t="inlineStr">
        <is>
          <t>explicit</t>
        </is>
      </c>
      <c r="K220" s="13" t="inlineStr">
        <is>
          <t>CAAR/Del/Elentec/17/2024</t>
        </is>
      </c>
      <c r="L220" s="14" t="inlineStr">
        <is>
          <t>https://www.cbic.gov.in/content/pdf/CONTENTREPO/CAAR/Elentec-India-Pvt-Ltd-22may2024.pdf</t>
        </is>
      </c>
      <c r="M220" s="13" t="inlineStr">
        <is>
          <t>YES</t>
        </is>
      </c>
    </row>
    <row r="221">
      <c r="A221" s="13" t="inlineStr">
        <is>
          <t>Delhi Rulings</t>
        </is>
      </c>
      <c r="B221" s="13" t="inlineStr">
        <is>
          <t>22</t>
        </is>
      </c>
      <c r="C221" s="13" t="inlineStr">
        <is>
          <t>217</t>
        </is>
      </c>
      <c r="D221" s="13" t="inlineStr">
        <is>
          <t>M/s Haritaki FZC</t>
        </is>
      </c>
      <c r="E221" s="13" t="inlineStr">
        <is>
          <t>23.02.2024</t>
        </is>
      </c>
      <c r="F221" s="13" t="inlineStr">
        <is>
          <t>16.05.2024</t>
        </is>
      </c>
      <c r="G221" s="13" t="inlineStr">
        <is>
          <t>2024</t>
        </is>
      </c>
      <c r="H221" s="13" t="inlineStr">
        <is>
          <t>Classification of the subject goods [Mixed Condiments and Mixed Seasonings]</t>
        </is>
      </c>
      <c r="I221" s="13" t="inlineStr">
        <is>
          <t>Classification</t>
        </is>
      </c>
      <c r="J221" s="13" t="inlineStr">
        <is>
          <t>explicit</t>
        </is>
      </c>
      <c r="K221" s="13" t="inlineStr">
        <is>
          <t>CAAR/Del/Haritaki/16/2024</t>
        </is>
      </c>
      <c r="L221" s="14" t="inlineStr">
        <is>
          <t>https://www.cbic.gov.in/content/pdf/CONTENTREPO/CAAR/car-del-16-hari-21082024.pdf</t>
        </is>
      </c>
      <c r="M221" s="13" t="inlineStr">
        <is>
          <t>YES</t>
        </is>
      </c>
    </row>
    <row r="222">
      <c r="A222" s="13" t="inlineStr">
        <is>
          <t>Delhi Rulings</t>
        </is>
      </c>
      <c r="B222" s="13" t="inlineStr">
        <is>
          <t>22</t>
        </is>
      </c>
      <c r="C222" s="13" t="inlineStr">
        <is>
          <t>218</t>
        </is>
      </c>
      <c r="D222" s="13" t="inlineStr">
        <is>
          <t>M/s RV International.</t>
        </is>
      </c>
      <c r="E222" s="13" t="inlineStr">
        <is>
          <t>06.03.2024</t>
        </is>
      </c>
      <c r="F222" s="13" t="inlineStr">
        <is>
          <t>09.05.2024</t>
        </is>
      </c>
      <c r="G222" s="13" t="inlineStr">
        <is>
          <t>2024</t>
        </is>
      </c>
      <c r="H222" s="13" t="inlineStr">
        <is>
          <t>Classification of the subject goods [Roasted Arena Nut (Whole), Roasted Areca Nut (Split) and Roaste</t>
        </is>
      </c>
      <c r="I222" s="13" t="inlineStr">
        <is>
          <t>Classification</t>
        </is>
      </c>
      <c r="J222" s="13" t="inlineStr">
        <is>
          <t>explicit</t>
        </is>
      </c>
      <c r="K222" s="13" t="inlineStr">
        <is>
          <t>CAAR/Del/RV Intl/15/2024</t>
        </is>
      </c>
      <c r="L222" s="14" t="inlineStr">
        <is>
          <t>https://www.cbic.gov.in/content/pdf/CONTENTREPO/CAAR/caar-del-15-rv-intl-14052024.pdf</t>
        </is>
      </c>
      <c r="M222" s="13" t="inlineStr">
        <is>
          <t>YES</t>
        </is>
      </c>
    </row>
    <row r="223">
      <c r="A223" s="13" t="inlineStr">
        <is>
          <t>Delhi Rulings</t>
        </is>
      </c>
      <c r="B223" s="13" t="inlineStr">
        <is>
          <t>22</t>
        </is>
      </c>
      <c r="C223" s="13" t="inlineStr">
        <is>
          <t>219</t>
        </is>
      </c>
      <c r="D223" s="13" t="inlineStr">
        <is>
          <t>M/s Vapa Overseas Pvt Ltd.</t>
        </is>
      </c>
      <c r="E223" s="13" t="inlineStr">
        <is>
          <t>06.03.2024</t>
        </is>
      </c>
      <c r="F223" s="13" t="inlineStr">
        <is>
          <t>09.05.2024</t>
        </is>
      </c>
      <c r="G223" s="13" t="inlineStr">
        <is>
          <t>2024</t>
        </is>
      </c>
      <c r="H223" s="13" t="inlineStr">
        <is>
          <t>Classification of the subject goods [Roasted Arena Nut (Whole), Roasted Areca Nut (Split) and Roaste</t>
        </is>
      </c>
      <c r="I223" s="13" t="inlineStr">
        <is>
          <t>Classification</t>
        </is>
      </c>
      <c r="J223" s="13" t="inlineStr">
        <is>
          <t>explicit</t>
        </is>
      </c>
      <c r="K223" s="13" t="inlineStr">
        <is>
          <t>CAAR/Del/Vapa/14/2024</t>
        </is>
      </c>
      <c r="L223" s="14" t="inlineStr">
        <is>
          <t>https://www.cbic.gov.in/content/pdf/CONTENTREPO/CAAR/caar-del-14-vapa-14052024.pdf</t>
        </is>
      </c>
      <c r="M223" s="13" t="inlineStr">
        <is>
          <t>YES</t>
        </is>
      </c>
    </row>
    <row r="224">
      <c r="A224" s="13" t="inlineStr">
        <is>
          <t>Delhi Rulings</t>
        </is>
      </c>
      <c r="B224" s="13" t="inlineStr">
        <is>
          <t>22</t>
        </is>
      </c>
      <c r="C224" s="13" t="inlineStr">
        <is>
          <t>220</t>
        </is>
      </c>
      <c r="D224" s="13" t="inlineStr">
        <is>
          <t>M/s Vaibhav Enterprises.</t>
        </is>
      </c>
      <c r="E224" s="13" t="inlineStr">
        <is>
          <t>18.03.2024</t>
        </is>
      </c>
      <c r="F224" s="13" t="inlineStr">
        <is>
          <t>06.05.2024</t>
        </is>
      </c>
      <c r="G224" s="13" t="inlineStr">
        <is>
          <t>2024</t>
        </is>
      </c>
      <c r="H224" s="13" t="inlineStr">
        <is>
          <t>Classification of the subject goods</t>
        </is>
      </c>
      <c r="I224" s="13" t="inlineStr">
        <is>
          <t>Classification</t>
        </is>
      </c>
      <c r="J224" s="13" t="inlineStr">
        <is>
          <t>explicit</t>
        </is>
      </c>
      <c r="K224" s="13" t="inlineStr">
        <is>
          <t>CAAR/Del/Vaibhav/13/2024</t>
        </is>
      </c>
      <c r="L224" s="14" t="inlineStr">
        <is>
          <t>https://www.cbic.gov.in/content/pdf/CONTENTREPO/CAAR/Vaibhav-Ent-Ruling.pdf</t>
        </is>
      </c>
      <c r="M224" s="13" t="inlineStr">
        <is>
          <t>YES</t>
        </is>
      </c>
    </row>
    <row r="225">
      <c r="A225" s="13" t="inlineStr">
        <is>
          <t>Delhi Rulings</t>
        </is>
      </c>
      <c r="B225" s="13" t="inlineStr">
        <is>
          <t>23</t>
        </is>
      </c>
      <c r="C225" s="13" t="inlineStr">
        <is>
          <t>221</t>
        </is>
      </c>
      <c r="D225" s="13" t="inlineStr">
        <is>
          <t>M/s Vivo Mobile India Pvt Ltd.</t>
        </is>
      </c>
      <c r="E225" s="13" t="inlineStr">
        <is>
          <t>26.12.2024</t>
        </is>
      </c>
      <c r="F225" s="13" t="inlineStr">
        <is>
          <t>26.04.2024</t>
        </is>
      </c>
      <c r="G225" s="13" t="inlineStr">
        <is>
          <t>2024</t>
        </is>
      </c>
      <c r="H225" s="13" t="inlineStr">
        <is>
          <t>Classification of the subject goods</t>
        </is>
      </c>
      <c r="I225" s="13" t="inlineStr">
        <is>
          <t>Classification</t>
        </is>
      </c>
      <c r="J225" s="13" t="inlineStr">
        <is>
          <t>explicit</t>
        </is>
      </c>
      <c r="K225" s="13" t="inlineStr">
        <is>
          <t>CAAR/Del/Vivo/12/2024</t>
        </is>
      </c>
      <c r="L225" s="14" t="inlineStr">
        <is>
          <t>https://www.cbic.gov.in/content/pdf/CONTENTREPO/CAAR/Ms-Vivo-Mobile-India-Pvt-Ltd-updated-03052024.pdf</t>
        </is>
      </c>
      <c r="M225" s="13" t="inlineStr">
        <is>
          <t>YES</t>
        </is>
      </c>
    </row>
    <row r="226">
      <c r="A226" s="13" t="inlineStr">
        <is>
          <t>Delhi Rulings</t>
        </is>
      </c>
      <c r="B226" s="13" t="inlineStr">
        <is>
          <t>23</t>
        </is>
      </c>
      <c r="C226" s="13" t="inlineStr">
        <is>
          <t>222</t>
        </is>
      </c>
      <c r="D226" s="13" t="inlineStr">
        <is>
          <t>M/s remarkable AS (06/2024)</t>
        </is>
      </c>
      <c r="E226" s="13" t="inlineStr">
        <is>
          <t>30.01.2024</t>
        </is>
      </c>
      <c r="F226" s="13" t="inlineStr">
        <is>
          <t>25.04.2024</t>
        </is>
      </c>
      <c r="G226" s="13" t="inlineStr">
        <is>
          <t>2024</t>
        </is>
      </c>
      <c r="H226" s="13" t="inlineStr">
        <is>
          <t>Classification of remarkable Marker Plus RM212</t>
        </is>
      </c>
      <c r="I226" s="13" t="inlineStr">
        <is>
          <t>Classification</t>
        </is>
      </c>
      <c r="J226" s="13" t="inlineStr">
        <is>
          <t>explicit</t>
        </is>
      </c>
      <c r="K226" s="13" t="inlineStr">
        <is>
          <t>CAAR/Del/remarkable/11/2024</t>
        </is>
      </c>
      <c r="L226" s="13" t="inlineStr"/>
      <c r="M226" s="13" t="inlineStr">
        <is>
          <t>NO</t>
        </is>
      </c>
    </row>
    <row r="227">
      <c r="A227" s="13" t="inlineStr">
        <is>
          <t>Delhi Rulings</t>
        </is>
      </c>
      <c r="B227" s="13" t="inlineStr">
        <is>
          <t>23</t>
        </is>
      </c>
      <c r="C227" s="13" t="inlineStr">
        <is>
          <t>223</t>
        </is>
      </c>
      <c r="D227" s="13" t="inlineStr">
        <is>
          <t>M/s remarkable AS (05/2024)</t>
        </is>
      </c>
      <c r="E227" s="13" t="inlineStr">
        <is>
          <t>30.01.2024</t>
        </is>
      </c>
      <c r="F227" s="13" t="inlineStr">
        <is>
          <t>25.04.2024</t>
        </is>
      </c>
      <c r="G227" s="13" t="inlineStr">
        <is>
          <t>2024</t>
        </is>
      </c>
      <c r="H227" s="13" t="inlineStr">
        <is>
          <t>Classification of remarkable Paper Tablet RM114</t>
        </is>
      </c>
      <c r="I227" s="13" t="inlineStr">
        <is>
          <t>Classification</t>
        </is>
      </c>
      <c r="J227" s="13" t="inlineStr">
        <is>
          <t>explicit</t>
        </is>
      </c>
      <c r="K227" s="13" t="inlineStr">
        <is>
          <t>CAAR/Del/remarkable/10/2024</t>
        </is>
      </c>
      <c r="L227" s="13" t="inlineStr"/>
      <c r="M227" s="13" t="inlineStr">
        <is>
          <t>NO</t>
        </is>
      </c>
    </row>
    <row r="228">
      <c r="A228" s="13" t="inlineStr">
        <is>
          <t>Delhi Rulings</t>
        </is>
      </c>
      <c r="B228" s="13" t="inlineStr">
        <is>
          <t>23</t>
        </is>
      </c>
      <c r="C228" s="13" t="inlineStr">
        <is>
          <t>224</t>
        </is>
      </c>
      <c r="D228" s="13" t="inlineStr">
        <is>
          <t>M/s remarkable AS (04/2024)</t>
        </is>
      </c>
      <c r="E228" s="13" t="inlineStr">
        <is>
          <t>30.01.2024</t>
        </is>
      </c>
      <c r="F228" s="13" t="inlineStr">
        <is>
          <t>25.04.2024</t>
        </is>
      </c>
      <c r="G228" s="13" t="inlineStr">
        <is>
          <t>2024</t>
        </is>
      </c>
      <c r="H228" s="13" t="inlineStr">
        <is>
          <t>Classification of remarkable Book Folio RM314</t>
        </is>
      </c>
      <c r="I228" s="13" t="inlineStr">
        <is>
          <t>Classification</t>
        </is>
      </c>
      <c r="J228" s="13" t="inlineStr">
        <is>
          <t>explicit</t>
        </is>
      </c>
      <c r="K228" s="13" t="inlineStr">
        <is>
          <t>CAAR/Del/remarkable/09/2024</t>
        </is>
      </c>
      <c r="L228" s="13" t="inlineStr"/>
      <c r="M228" s="13" t="inlineStr">
        <is>
          <t>NO</t>
        </is>
      </c>
    </row>
    <row r="229">
      <c r="A229" s="13" t="inlineStr">
        <is>
          <t>Delhi Rulings</t>
        </is>
      </c>
      <c r="B229" s="13" t="inlineStr">
        <is>
          <t>23</t>
        </is>
      </c>
      <c r="C229" s="13" t="inlineStr">
        <is>
          <t>225</t>
        </is>
      </c>
      <c r="D229" s="13" t="inlineStr">
        <is>
          <t>M/s remarkable AS (03/2024)</t>
        </is>
      </c>
      <c r="E229" s="13" t="inlineStr">
        <is>
          <t>30.01.2024</t>
        </is>
      </c>
      <c r="F229" s="13" t="inlineStr">
        <is>
          <t>25.04.2024</t>
        </is>
      </c>
      <c r="G229" s="13" t="inlineStr">
        <is>
          <t>2024</t>
        </is>
      </c>
      <c r="H229" s="13" t="inlineStr">
        <is>
          <t>Classification of remarkable Paper Tablet RM113</t>
        </is>
      </c>
      <c r="I229" s="13" t="inlineStr">
        <is>
          <t>Classification</t>
        </is>
      </c>
      <c r="J229" s="13" t="inlineStr">
        <is>
          <t>explicit</t>
        </is>
      </c>
      <c r="K229" s="13" t="inlineStr">
        <is>
          <t>CAAR/Del/remarkable/08/2024</t>
        </is>
      </c>
      <c r="L229" s="13" t="inlineStr"/>
      <c r="M229" s="13" t="inlineStr">
        <is>
          <t>NO</t>
        </is>
      </c>
    </row>
    <row r="230">
      <c r="A230" s="13" t="inlineStr">
        <is>
          <t>Delhi Rulings</t>
        </is>
      </c>
      <c r="B230" s="13" t="inlineStr">
        <is>
          <t>23</t>
        </is>
      </c>
      <c r="C230" s="13" t="inlineStr">
        <is>
          <t>226</t>
        </is>
      </c>
      <c r="D230" s="13" t="inlineStr">
        <is>
          <t>M/s Shriprop Aerospace Pvt Ltd</t>
        </is>
      </c>
      <c r="E230" s="13" t="inlineStr">
        <is>
          <t>18.01.2024</t>
        </is>
      </c>
      <c r="F230" s="13" t="inlineStr">
        <is>
          <t>26.03.2024</t>
        </is>
      </c>
      <c r="G230" s="13" t="inlineStr">
        <is>
          <t>2024</t>
        </is>
      </c>
      <c r="H230" s="13" t="inlineStr">
        <is>
          <t>Sl. No. 545 of notification no. 50/2017 Custom dated 30.06.2017</t>
        </is>
      </c>
      <c r="I230" s="13" t="inlineStr">
        <is>
          <t>Exemption</t>
        </is>
      </c>
      <c r="J230" s="13" t="inlineStr">
        <is>
          <t>explicit</t>
        </is>
      </c>
      <c r="K230" s="13" t="inlineStr">
        <is>
          <t>CAAR/Del/Shriprop Aerospace/07/2024</t>
        </is>
      </c>
      <c r="L230" s="14" t="inlineStr">
        <is>
          <t>https://www.cbic.gov.in/content/pdf/CONTENTREPO/CAAR/shriprop-ruling-28mar2024.pdf</t>
        </is>
      </c>
      <c r="M230" s="13" t="inlineStr">
        <is>
          <t>YES</t>
        </is>
      </c>
    </row>
    <row r="231">
      <c r="A231" s="13" t="inlineStr">
        <is>
          <t>Delhi Rulings</t>
        </is>
      </c>
      <c r="B231" s="13" t="inlineStr">
        <is>
          <t>23</t>
        </is>
      </c>
      <c r="C231" s="13" t="inlineStr">
        <is>
          <t>227</t>
        </is>
      </c>
      <c r="D231" s="13" t="inlineStr">
        <is>
          <t>M/s A-One Traders</t>
        </is>
      </c>
      <c r="E231" s="13" t="inlineStr">
        <is>
          <t>07.12.2023</t>
        </is>
      </c>
      <c r="F231" s="13" t="inlineStr">
        <is>
          <t>04.03.2024</t>
        </is>
      </c>
      <c r="G231" s="13" t="inlineStr">
        <is>
          <t>2024</t>
        </is>
      </c>
      <c r="H231" s="13" t="inlineStr">
        <is>
          <t>Classification of “Roasted Areca Nuts (Whole), Roasted Areca Nuts (Split) &amp; Roasted Areca Nuts (Cut)</t>
        </is>
      </c>
      <c r="I231" s="13" t="inlineStr">
        <is>
          <t>Classification</t>
        </is>
      </c>
      <c r="J231" s="13" t="inlineStr">
        <is>
          <t>explicit</t>
        </is>
      </c>
      <c r="K231" s="13" t="inlineStr">
        <is>
          <t>CAAR/Del/A-One/06/2024</t>
        </is>
      </c>
      <c r="L231" s="14" t="inlineStr">
        <is>
          <t>https://www.cbic.gov.in/content/pdf/CONTENTREPO/CAAR/caar-del-one-trade-07mar2024.pdf</t>
        </is>
      </c>
      <c r="M231" s="13" t="inlineStr">
        <is>
          <t>YES</t>
        </is>
      </c>
    </row>
    <row r="232">
      <c r="A232" s="13" t="inlineStr">
        <is>
          <t>Delhi Rulings</t>
        </is>
      </c>
      <c r="B232" s="13" t="inlineStr">
        <is>
          <t>23</t>
        </is>
      </c>
      <c r="C232" s="13" t="inlineStr">
        <is>
          <t>228</t>
        </is>
      </c>
      <c r="D232" s="13" t="inlineStr">
        <is>
          <t>M/s Perfect Trading Co.</t>
        </is>
      </c>
      <c r="E232" s="13" t="inlineStr">
        <is>
          <t>04.01.2024</t>
        </is>
      </c>
      <c r="F232" s="13" t="inlineStr">
        <is>
          <t>28.02.2024</t>
        </is>
      </c>
      <c r="G232" s="13" t="inlineStr">
        <is>
          <t>2024</t>
        </is>
      </c>
      <c r="H232" s="13" t="inlineStr">
        <is>
          <t>Classification of “Roasted Areca Nuts (Whole), Roasted Areca Nuts (Split) &amp; Roasted Areca Nuts (Cut)</t>
        </is>
      </c>
      <c r="I232" s="13" t="inlineStr">
        <is>
          <t>Classification</t>
        </is>
      </c>
      <c r="J232" s="13" t="inlineStr">
        <is>
          <t>explicit</t>
        </is>
      </c>
      <c r="K232" s="13" t="inlineStr">
        <is>
          <t>CAAR/Del/Perfect Trading/05/2024</t>
        </is>
      </c>
      <c r="L232" s="14" t="inlineStr">
        <is>
          <t>https://www.cbic.gov.in/content/pdf/CONTENTREPO/CAAR/perfect-Trading-Rulings.pdf</t>
        </is>
      </c>
      <c r="M232" s="13" t="inlineStr">
        <is>
          <t>YES</t>
        </is>
      </c>
    </row>
    <row r="233">
      <c r="A233" s="13" t="inlineStr">
        <is>
          <t>Delhi Rulings</t>
        </is>
      </c>
      <c r="B233" s="13" t="inlineStr">
        <is>
          <t>23</t>
        </is>
      </c>
      <c r="C233" s="13" t="inlineStr">
        <is>
          <t>229</t>
        </is>
      </c>
      <c r="D233" s="13" t="inlineStr">
        <is>
          <t>M/s Narang Machinery Store.</t>
        </is>
      </c>
      <c r="E233" s="13" t="inlineStr">
        <is>
          <t>30.11.2023</t>
        </is>
      </c>
      <c r="F233" s="13" t="inlineStr">
        <is>
          <t>27.02.2024</t>
        </is>
      </c>
      <c r="G233" s="13" t="inlineStr">
        <is>
          <t>2024</t>
        </is>
      </c>
      <c r="H233" s="13" t="inlineStr">
        <is>
          <t>Classification of Whey protein</t>
        </is>
      </c>
      <c r="I233" s="13" t="inlineStr">
        <is>
          <t>Classification</t>
        </is>
      </c>
      <c r="J233" s="13" t="inlineStr">
        <is>
          <t>explicit</t>
        </is>
      </c>
      <c r="K233" s="13" t="inlineStr">
        <is>
          <t>CAAR/Del/Narang/04/2024</t>
        </is>
      </c>
      <c r="L233" s="14" t="inlineStr">
        <is>
          <t>https://www.cbic.gov.in/content/pdf/CONTENTREPO/CAAR/caar-del-narang-28feb2024.pdf</t>
        </is>
      </c>
      <c r="M233" s="13" t="inlineStr">
        <is>
          <t>YES</t>
        </is>
      </c>
    </row>
    <row r="234">
      <c r="A234" s="13" t="inlineStr">
        <is>
          <t>Delhi Rulings</t>
        </is>
      </c>
      <c r="B234" s="13" t="inlineStr">
        <is>
          <t>23</t>
        </is>
      </c>
      <c r="C234" s="13" t="inlineStr">
        <is>
          <t>230</t>
        </is>
      </c>
      <c r="D234" s="13" t="inlineStr">
        <is>
          <t>M/s Vivo Mobile India Pvt. Ltd.</t>
        </is>
      </c>
      <c r="E234" s="13" t="inlineStr">
        <is>
          <t>03.11.2023</t>
        </is>
      </c>
      <c r="F234" s="13" t="inlineStr">
        <is>
          <t>01.02.2024</t>
        </is>
      </c>
      <c r="G234" s="13" t="inlineStr">
        <is>
          <t>2024</t>
        </is>
      </c>
      <c r="H234" s="13" t="inlineStr">
        <is>
          <t>Classification of Main MIC Dust Protective Net</t>
        </is>
      </c>
      <c r="I234" s="13" t="inlineStr">
        <is>
          <t>Classification</t>
        </is>
      </c>
      <c r="J234" s="13" t="inlineStr">
        <is>
          <t>explicit</t>
        </is>
      </c>
      <c r="K234" s="13" t="inlineStr">
        <is>
          <t>CAAR/Del/Vivo Mobile India/03/2024</t>
        </is>
      </c>
      <c r="L234" s="14" t="inlineStr">
        <is>
          <t>https://www.cbic.gov.in/content/pdf/CONTENTREPO/CAAR/vivo-caar-mumbai-ruling-01022024.pdf</t>
        </is>
      </c>
      <c r="M234" s="13" t="inlineStr">
        <is>
          <t>YES</t>
        </is>
      </c>
    </row>
    <row r="235">
      <c r="A235" s="13" t="inlineStr">
        <is>
          <t>Delhi Rulings</t>
        </is>
      </c>
      <c r="B235" s="13" t="inlineStr">
        <is>
          <t>24</t>
        </is>
      </c>
      <c r="C235" s="13" t="inlineStr">
        <is>
          <t>231</t>
        </is>
      </c>
      <c r="D235" s="13" t="inlineStr">
        <is>
          <t>M/s Perfect Trading Co. (61/2023)</t>
        </is>
      </c>
      <c r="E235" s="13" t="inlineStr">
        <is>
          <t>28.11.2023</t>
        </is>
      </c>
      <c r="F235" s="13" t="inlineStr">
        <is>
          <t>05.01.2024</t>
        </is>
      </c>
      <c r="G235" s="13" t="inlineStr">
        <is>
          <t>2024</t>
        </is>
      </c>
      <c r="H235" s="13" t="inlineStr">
        <is>
          <t>Classification of the Roasted Areca Nut/Betel Nut</t>
        </is>
      </c>
      <c r="I235" s="13" t="inlineStr">
        <is>
          <t>Classification</t>
        </is>
      </c>
      <c r="J235" s="13" t="inlineStr">
        <is>
          <t>explicit</t>
        </is>
      </c>
      <c r="K235" s="13" t="inlineStr">
        <is>
          <t>CAAR/Del/Perfect/01/2024</t>
        </is>
      </c>
      <c r="L235" s="14" t="inlineStr">
        <is>
          <t>https://www.cbic.gov.in/content/pdf/CONTENTREPO/CAAR/caar-del-01-09012024.pdf</t>
        </is>
      </c>
      <c r="M235" s="13" t="inlineStr">
        <is>
          <t>YES</t>
        </is>
      </c>
    </row>
    <row r="236">
      <c r="A236" s="13" t="inlineStr">
        <is>
          <t>Delhi Rulings</t>
        </is>
      </c>
      <c r="B236" s="13" t="inlineStr">
        <is>
          <t>24</t>
        </is>
      </c>
      <c r="C236" s="13" t="inlineStr">
        <is>
          <t>232</t>
        </is>
      </c>
      <c r="D236" s="13" t="inlineStr">
        <is>
          <t>M/s Perfect Trading Co. (62/2023)</t>
        </is>
      </c>
      <c r="E236" s="13" t="inlineStr">
        <is>
          <t>28.11.2023</t>
        </is>
      </c>
      <c r="F236" s="13" t="inlineStr">
        <is>
          <t>05.01.2024</t>
        </is>
      </c>
      <c r="G236" s="13" t="inlineStr">
        <is>
          <t>2024</t>
        </is>
      </c>
      <c r="H236" s="13" t="inlineStr">
        <is>
          <t>Classification of the Roasted Areca Nut/Betel Nut</t>
        </is>
      </c>
      <c r="I236" s="13" t="inlineStr">
        <is>
          <t>Classification</t>
        </is>
      </c>
      <c r="J236" s="13" t="inlineStr">
        <is>
          <t>explicit</t>
        </is>
      </c>
      <c r="K236" s="13" t="inlineStr">
        <is>
          <t>CAAR/Del/Perfect/02/2024</t>
        </is>
      </c>
      <c r="L236" s="14" t="inlineStr">
        <is>
          <t>https://www.cbic.gov.in/content/pdf/CONTENTREPO/CAAR/caar-del-02-09012024.pdf</t>
        </is>
      </c>
      <c r="M236" s="13" t="inlineStr">
        <is>
          <t>YES</t>
        </is>
      </c>
    </row>
    <row r="237">
      <c r="A237" s="13" t="inlineStr">
        <is>
          <t>Delhi Rulings</t>
        </is>
      </c>
      <c r="B237" s="13" t="inlineStr">
        <is>
          <t>24</t>
        </is>
      </c>
      <c r="C237" s="13" t="inlineStr">
        <is>
          <t>233</t>
        </is>
      </c>
      <c r="D237" s="13" t="inlineStr">
        <is>
          <t>M/s Boston Scientific India Pvt. Ltd.</t>
        </is>
      </c>
      <c r="E237" s="13" t="inlineStr">
        <is>
          <t>26.09.2023</t>
        </is>
      </c>
      <c r="F237" s="13" t="inlineStr">
        <is>
          <t>22.12.2023</t>
        </is>
      </c>
      <c r="G237" s="13" t="inlineStr">
        <is>
          <t>2023</t>
        </is>
      </c>
      <c r="H237" s="13" t="inlineStr">
        <is>
          <t>Healthcare/Medical Equipment</t>
        </is>
      </c>
      <c r="I237" s="13" t="inlineStr">
        <is>
          <t>Classification</t>
        </is>
      </c>
      <c r="J237" s="13" t="inlineStr">
        <is>
          <t>inferred</t>
        </is>
      </c>
      <c r="K237" s="13" t="inlineStr">
        <is>
          <t>CAAR/Del/Boston/36/2023</t>
        </is>
      </c>
      <c r="L237" s="14" t="inlineStr">
        <is>
          <t>https://www.cbic.gov.in/content/pdf/CONTENTREPO/CAAR/car-delhi-boston-36.pdf</t>
        </is>
      </c>
      <c r="M237" s="13" t="inlineStr">
        <is>
          <t>YES</t>
        </is>
      </c>
    </row>
    <row r="238">
      <c r="A238" s="13" t="inlineStr">
        <is>
          <t>Delhi Rulings</t>
        </is>
      </c>
      <c r="B238" s="13" t="inlineStr">
        <is>
          <t>24</t>
        </is>
      </c>
      <c r="C238" s="13" t="inlineStr">
        <is>
          <t>234</t>
        </is>
      </c>
      <c r="D238" s="13" t="inlineStr">
        <is>
          <t>M/s Solae Company India Pvt. Ltd.</t>
        </is>
      </c>
      <c r="E238" s="13" t="inlineStr">
        <is>
          <t>02.08.2023</t>
        </is>
      </c>
      <c r="F238" s="13" t="inlineStr">
        <is>
          <t>13.12.2023</t>
        </is>
      </c>
      <c r="G238" s="13" t="inlineStr">
        <is>
          <t>2023</t>
        </is>
      </c>
      <c r="H238" s="13" t="inlineStr">
        <is>
          <t>Supro Nuggets 570 G IP classification</t>
        </is>
      </c>
      <c r="I238" s="13" t="inlineStr">
        <is>
          <t>Classification</t>
        </is>
      </c>
      <c r="J238" s="13" t="inlineStr">
        <is>
          <t>explicit</t>
        </is>
      </c>
      <c r="K238" s="13" t="inlineStr">
        <is>
          <t>CAAR/Del/Solae/35/2023</t>
        </is>
      </c>
      <c r="L238" s="14" t="inlineStr">
        <is>
          <t>https://www.cbic.gov.in/content/pdf/CONTENTREPO/CAAR/caar-del-solae-35-15dec2023.pdf</t>
        </is>
      </c>
      <c r="M238" s="13" t="inlineStr">
        <is>
          <t>YES</t>
        </is>
      </c>
    </row>
    <row r="239">
      <c r="A239" s="13" t="inlineStr">
        <is>
          <t>Delhi Rulings</t>
        </is>
      </c>
      <c r="B239" s="13" t="inlineStr">
        <is>
          <t>24</t>
        </is>
      </c>
      <c r="C239" s="13" t="inlineStr">
        <is>
          <t>235</t>
        </is>
      </c>
      <c r="D239" s="13" t="inlineStr">
        <is>
          <t>M/s Vivo Mobile India Pvt Ltd (50/2023)</t>
        </is>
      </c>
      <c r="E239" s="13" t="inlineStr">
        <is>
          <t>22.09.2023</t>
        </is>
      </c>
      <c r="F239" s="13" t="inlineStr">
        <is>
          <t>13.12.2023</t>
        </is>
      </c>
      <c r="G239" s="13" t="inlineStr">
        <is>
          <t>2023</t>
        </is>
      </c>
      <c r="H239" s="13" t="inlineStr">
        <is>
          <t>Classification of MEMS Microphone</t>
        </is>
      </c>
      <c r="I239" s="13" t="inlineStr">
        <is>
          <t>Classification</t>
        </is>
      </c>
      <c r="J239" s="13" t="inlineStr">
        <is>
          <t>explicit</t>
        </is>
      </c>
      <c r="K239" s="13" t="inlineStr">
        <is>
          <t>CAAR/Del/Vivo/34//2023</t>
        </is>
      </c>
      <c r="L239" s="14" t="inlineStr">
        <is>
          <t>https://www.cbic.gov.in/content/pdf/CONTENTREPO/CAAR/caar-del-vivo-34-13dec2023.pdf</t>
        </is>
      </c>
      <c r="M239" s="13" t="inlineStr">
        <is>
          <t>YES</t>
        </is>
      </c>
    </row>
    <row r="240">
      <c r="A240" s="13" t="inlineStr">
        <is>
          <t>Delhi Rulings</t>
        </is>
      </c>
      <c r="B240" s="13" t="inlineStr">
        <is>
          <t>24</t>
        </is>
      </c>
      <c r="C240" s="13" t="inlineStr">
        <is>
          <t>236</t>
        </is>
      </c>
      <c r="D240" s="13" t="inlineStr">
        <is>
          <t>M/s Amazon Wholesale India Pvt. Ltd</t>
        </is>
      </c>
      <c r="E240" s="13" t="inlineStr">
        <is>
          <t>15.09.2023</t>
        </is>
      </c>
      <c r="F240" s="13" t="inlineStr">
        <is>
          <t>08.12.2023</t>
        </is>
      </c>
      <c r="G240" s="13" t="inlineStr">
        <is>
          <t>2023</t>
        </is>
      </c>
      <c r="H240" s="13" t="inlineStr">
        <is>
          <t>Classification of Media Streaming Device</t>
        </is>
      </c>
      <c r="I240" s="13" t="inlineStr">
        <is>
          <t>Classification</t>
        </is>
      </c>
      <c r="J240" s="13" t="inlineStr">
        <is>
          <t>explicit</t>
        </is>
      </c>
      <c r="K240" s="13" t="inlineStr">
        <is>
          <t>CAAR/Del/Amazon/33/2023</t>
        </is>
      </c>
      <c r="L240" s="14" t="inlineStr">
        <is>
          <t>https://www.cbic.gov.in/content/pdf/CONTENTREPO/CAAR/caar-del-vivo-33-23aug2024.pdf</t>
        </is>
      </c>
      <c r="M240" s="13" t="inlineStr">
        <is>
          <t>YES</t>
        </is>
      </c>
    </row>
    <row r="241">
      <c r="A241" s="13" t="inlineStr">
        <is>
          <t>Delhi Rulings</t>
        </is>
      </c>
      <c r="B241" s="13" t="inlineStr">
        <is>
          <t>24</t>
        </is>
      </c>
      <c r="C241" s="13" t="inlineStr">
        <is>
          <t>237</t>
        </is>
      </c>
      <c r="D241" s="13" t="inlineStr">
        <is>
          <t>M/s Blue star Limited</t>
        </is>
      </c>
      <c r="E241" s="13" t="inlineStr">
        <is>
          <t>13.07.2023</t>
        </is>
      </c>
      <c r="F241" s="13" t="inlineStr">
        <is>
          <t>05.12.2023</t>
        </is>
      </c>
      <c r="G241" s="13" t="inlineStr">
        <is>
          <t>2023</t>
        </is>
      </c>
      <c r="H241" s="13" t="inlineStr">
        <is>
          <t>ODU Controller PCB classification</t>
        </is>
      </c>
      <c r="I241" s="13" t="inlineStr">
        <is>
          <t>Classification</t>
        </is>
      </c>
      <c r="J241" s="13" t="inlineStr">
        <is>
          <t>explicit</t>
        </is>
      </c>
      <c r="K241" s="13" t="inlineStr">
        <is>
          <t>CAAR/Del/Bluestar/32/2023</t>
        </is>
      </c>
      <c r="L241" s="14" t="inlineStr">
        <is>
          <t>https://www.cbic.gov.in/content/pdf/CONTENTREPO/CAAR/caar-del-bluestar-32-06122023.pdf</t>
        </is>
      </c>
      <c r="M241" s="13" t="inlineStr">
        <is>
          <t>YES</t>
        </is>
      </c>
    </row>
    <row r="242">
      <c r="A242" s="13" t="inlineStr">
        <is>
          <t>Delhi Rulings</t>
        </is>
      </c>
      <c r="B242" s="13" t="inlineStr">
        <is>
          <t>24</t>
        </is>
      </c>
      <c r="C242" s="13" t="inlineStr">
        <is>
          <t>238</t>
        </is>
      </c>
      <c r="D242" s="13" t="inlineStr">
        <is>
          <t>M/s Supertron Electronics Pvt Ltd</t>
        </is>
      </c>
      <c r="E242" s="13" t="inlineStr">
        <is>
          <t>03.10.2023</t>
        </is>
      </c>
      <c r="F242" s="13" t="inlineStr">
        <is>
          <t>04.12.2023</t>
        </is>
      </c>
      <c r="G242" s="13" t="inlineStr">
        <is>
          <t>2023</t>
        </is>
      </c>
      <c r="H242" s="13" t="inlineStr">
        <is>
          <t>Classification of Interactive Flat Panels</t>
        </is>
      </c>
      <c r="I242" s="13" t="inlineStr">
        <is>
          <t>Classification</t>
        </is>
      </c>
      <c r="J242" s="13" t="inlineStr">
        <is>
          <t>explicit</t>
        </is>
      </c>
      <c r="K242" s="13" t="inlineStr">
        <is>
          <t>CAAR/Del/Supertron/31/2023</t>
        </is>
      </c>
      <c r="L242" s="14" t="inlineStr">
        <is>
          <t>https://www.cbic.gov.in/content/pdf/CONTENTREPO/CAAR/caar-del-superton-31-04122023.pdf</t>
        </is>
      </c>
      <c r="M242" s="13" t="inlineStr">
        <is>
          <t>YES</t>
        </is>
      </c>
    </row>
    <row r="243">
      <c r="A243" s="13" t="inlineStr">
        <is>
          <t>Delhi Rulings</t>
        </is>
      </c>
      <c r="B243" s="13" t="inlineStr">
        <is>
          <t>24</t>
        </is>
      </c>
      <c r="C243" s="13" t="inlineStr">
        <is>
          <t>239</t>
        </is>
      </c>
      <c r="D243" s="13" t="inlineStr">
        <is>
          <t>M/s Yubico AB</t>
        </is>
      </c>
      <c r="E243" s="13" t="inlineStr">
        <is>
          <t>14.03.2023</t>
        </is>
      </c>
      <c r="F243" s="13" t="inlineStr">
        <is>
          <t>30.11.2023</t>
        </is>
      </c>
      <c r="G243" s="13" t="inlineStr">
        <is>
          <t>2023</t>
        </is>
      </c>
      <c r="H243" s="13" t="inlineStr">
        <is>
          <t>“YubiKey”, the product classification</t>
        </is>
      </c>
      <c r="I243" s="13" t="inlineStr">
        <is>
          <t>Classification</t>
        </is>
      </c>
      <c r="J243" s="13" t="inlineStr">
        <is>
          <t>explicit</t>
        </is>
      </c>
      <c r="K243" s="13" t="inlineStr">
        <is>
          <t>CAAR/Del/Yubico/30/2023</t>
        </is>
      </c>
      <c r="L243" s="14" t="inlineStr">
        <is>
          <t>https://www.cbic.gov.in/content/pdf/CONTENTREPO/CAAR/yubico-ruling-01122023.pdf</t>
        </is>
      </c>
      <c r="M243" s="13" t="inlineStr">
        <is>
          <t>YES</t>
        </is>
      </c>
    </row>
    <row r="244">
      <c r="A244" s="13" t="inlineStr">
        <is>
          <t>Delhi Rulings</t>
        </is>
      </c>
      <c r="B244" s="13" t="inlineStr">
        <is>
          <t>24</t>
        </is>
      </c>
      <c r="C244" s="13" t="inlineStr">
        <is>
          <t>240</t>
        </is>
      </c>
      <c r="D244" s="13" t="inlineStr">
        <is>
          <t>M/s United Spirits Ltd</t>
        </is>
      </c>
      <c r="E244" s="13" t="inlineStr">
        <is>
          <t>02.05.2023</t>
        </is>
      </c>
      <c r="F244" s="13" t="inlineStr">
        <is>
          <t>24.11.2023</t>
        </is>
      </c>
      <c r="G244" s="13" t="inlineStr">
        <is>
          <t>2023</t>
        </is>
      </c>
      <c r="H244" s="13" t="inlineStr">
        <is>
          <t>Ruling inter-alia on inclusion of charges as specified in Rule 10(2) of CVR, 2007 in the assessable</t>
        </is>
      </c>
      <c r="I244" s="13" t="inlineStr">
        <is>
          <t>Classification</t>
        </is>
      </c>
      <c r="J244" s="13" t="inlineStr">
        <is>
          <t>inferred</t>
        </is>
      </c>
      <c r="K244" s="13" t="inlineStr">
        <is>
          <t>CAAR/Del/United Spirits/29/2023</t>
        </is>
      </c>
      <c r="L244" s="14" t="inlineStr">
        <is>
          <t>https://www.cbic.gov.in/content/pdf/CONTENTREPO/CAAR/united-spirit-ruling-28112023.pdf</t>
        </is>
      </c>
      <c r="M244" s="13" t="inlineStr">
        <is>
          <t>YES</t>
        </is>
      </c>
    </row>
    <row r="245">
      <c r="A245" s="13" t="inlineStr">
        <is>
          <t>Delhi Rulings</t>
        </is>
      </c>
      <c r="B245" s="13" t="inlineStr">
        <is>
          <t>25</t>
        </is>
      </c>
      <c r="C245" s="13" t="inlineStr">
        <is>
          <t>241</t>
        </is>
      </c>
      <c r="D245" s="13" t="inlineStr">
        <is>
          <t>M/s Shree Durga Traders (43)</t>
        </is>
      </c>
      <c r="E245" s="13" t="inlineStr">
        <is>
          <t>09.08.2023</t>
        </is>
      </c>
      <c r="F245" s="13" t="inlineStr">
        <is>
          <t>17.11.2023</t>
        </is>
      </c>
      <c r="G245" s="13" t="inlineStr">
        <is>
          <t>2023</t>
        </is>
      </c>
      <c r="H245" s="13" t="inlineStr">
        <is>
          <t>Classification of the Roasted Areca Nut/Betel Nut</t>
        </is>
      </c>
      <c r="I245" s="13" t="inlineStr">
        <is>
          <t>Classification</t>
        </is>
      </c>
      <c r="J245" s="13" t="inlineStr">
        <is>
          <t>explicit</t>
        </is>
      </c>
      <c r="K245" s="13" t="inlineStr">
        <is>
          <t>CAAR/Del/Shree Durga/28/2023</t>
        </is>
      </c>
      <c r="L245" s="14" t="inlineStr">
        <is>
          <t>https://www.cbic.gov.in/content/pdf/CONTENTREPO/CAAR/Shree-durga-43-del-28-ruling-21nov2023.pdf</t>
        </is>
      </c>
      <c r="M245" s="13" t="inlineStr">
        <is>
          <t>YES</t>
        </is>
      </c>
    </row>
    <row r="246">
      <c r="A246" s="13" t="inlineStr">
        <is>
          <t>Delhi Rulings</t>
        </is>
      </c>
      <c r="B246" s="13" t="inlineStr">
        <is>
          <t>25</t>
        </is>
      </c>
      <c r="C246" s="13" t="inlineStr">
        <is>
          <t>242</t>
        </is>
      </c>
      <c r="D246" s="13" t="inlineStr">
        <is>
          <t>M/s Shree Durga Traders (42)</t>
        </is>
      </c>
      <c r="E246" s="13" t="inlineStr">
        <is>
          <t>09.08.2023</t>
        </is>
      </c>
      <c r="F246" s="13" t="inlineStr">
        <is>
          <t>17.11.2023</t>
        </is>
      </c>
      <c r="G246" s="13" t="inlineStr">
        <is>
          <t>2023</t>
        </is>
      </c>
      <c r="H246" s="13" t="inlineStr">
        <is>
          <t>Classification of the Roasted Areca Nut/Betel Nut</t>
        </is>
      </c>
      <c r="I246" s="13" t="inlineStr">
        <is>
          <t>Classification</t>
        </is>
      </c>
      <c r="J246" s="13" t="inlineStr">
        <is>
          <t>explicit</t>
        </is>
      </c>
      <c r="K246" s="13" t="inlineStr">
        <is>
          <t>CAAR/Del/Shree Durga/27/2023</t>
        </is>
      </c>
      <c r="L246" s="14" t="inlineStr">
        <is>
          <t>https://www.cbic.gov.in/content/pdf/CONTENTREPO/CAAR/Shree-durga-42-del-27-ruling-21nov2023.pdf</t>
        </is>
      </c>
      <c r="M246" s="13" t="inlineStr">
        <is>
          <t>YES</t>
        </is>
      </c>
    </row>
    <row r="247">
      <c r="A247" s="13" t="inlineStr">
        <is>
          <t>Delhi Rulings</t>
        </is>
      </c>
      <c r="B247" s="13" t="inlineStr">
        <is>
          <t>25</t>
        </is>
      </c>
      <c r="C247" s="13" t="inlineStr">
        <is>
          <t>243</t>
        </is>
      </c>
      <c r="D247" s="13" t="inlineStr">
        <is>
          <t>M/s Shree Durga Traders (41)</t>
        </is>
      </c>
      <c r="E247" s="13" t="inlineStr">
        <is>
          <t>09.08.2023</t>
        </is>
      </c>
      <c r="F247" s="13" t="inlineStr">
        <is>
          <t>17.11.2023</t>
        </is>
      </c>
      <c r="G247" s="13" t="inlineStr">
        <is>
          <t>2023</t>
        </is>
      </c>
      <c r="H247" s="13" t="inlineStr">
        <is>
          <t>Classification of the Roasted Areca Nut/Betel Nut</t>
        </is>
      </c>
      <c r="I247" s="13" t="inlineStr">
        <is>
          <t>Classification</t>
        </is>
      </c>
      <c r="J247" s="13" t="inlineStr">
        <is>
          <t>explicit</t>
        </is>
      </c>
      <c r="K247" s="13" t="inlineStr">
        <is>
          <t>CAAR/Del/Shree Durga/26/2023</t>
        </is>
      </c>
      <c r="L247" s="14" t="inlineStr">
        <is>
          <t>https://www.cbic.gov.in/content/pdf/CONTENTREPO/CAAR/Shree-durga-41-del-26-ruling-21nov2023.pdf</t>
        </is>
      </c>
      <c r="M247" s="13" t="inlineStr">
        <is>
          <t>YES</t>
        </is>
      </c>
    </row>
    <row r="248">
      <c r="A248" s="13" t="inlineStr">
        <is>
          <t>Delhi Rulings</t>
        </is>
      </c>
      <c r="B248" s="13" t="inlineStr">
        <is>
          <t>25</t>
        </is>
      </c>
      <c r="C248" s="13" t="inlineStr">
        <is>
          <t>244</t>
        </is>
      </c>
      <c r="D248" s="13" t="inlineStr">
        <is>
          <t>M/s Jai Shree Krishna Impex</t>
        </is>
      </c>
      <c r="E248" s="13" t="inlineStr">
        <is>
          <t>02.08.2023</t>
        </is>
      </c>
      <c r="F248" s="13" t="inlineStr">
        <is>
          <t>17.11.2023</t>
        </is>
      </c>
      <c r="G248" s="13" t="inlineStr">
        <is>
          <t>2023</t>
        </is>
      </c>
      <c r="H248" s="13" t="inlineStr">
        <is>
          <t>Classification of the Rubber Balloon</t>
        </is>
      </c>
      <c r="I248" s="13" t="inlineStr">
        <is>
          <t>Classification</t>
        </is>
      </c>
      <c r="J248" s="13" t="inlineStr">
        <is>
          <t>explicit</t>
        </is>
      </c>
      <c r="K248" s="13" t="inlineStr">
        <is>
          <t>CAAR/Del/Jai Shree/25/2023</t>
        </is>
      </c>
      <c r="L248" s="14" t="inlineStr">
        <is>
          <t>https://www.cbic.gov.in/content/pdf/CONTENTREPO/CAAR/caar-del-rul-25-17112023.pdf</t>
        </is>
      </c>
      <c r="M248" s="13" t="inlineStr">
        <is>
          <t>YES</t>
        </is>
      </c>
    </row>
    <row r="249">
      <c r="A249" s="13" t="inlineStr">
        <is>
          <t>Delhi Rulings</t>
        </is>
      </c>
      <c r="B249" s="13" t="inlineStr">
        <is>
          <t>25</t>
        </is>
      </c>
      <c r="C249" s="13" t="inlineStr">
        <is>
          <t>245</t>
        </is>
      </c>
      <c r="D249" s="13" t="inlineStr">
        <is>
          <t>M/s Three Bond India Pvt Ltd.</t>
        </is>
      </c>
      <c r="E249" s="13" t="inlineStr">
        <is>
          <t>08.05.2023</t>
        </is>
      </c>
      <c r="F249" s="13" t="inlineStr">
        <is>
          <t>09.11.2023</t>
        </is>
      </c>
      <c r="G249" s="13" t="inlineStr">
        <is>
          <t>2023</t>
        </is>
      </c>
      <c r="H249" s="13" t="inlineStr">
        <is>
          <t>Classification of the sealant/adhesives</t>
        </is>
      </c>
      <c r="I249" s="13" t="inlineStr">
        <is>
          <t>Classification</t>
        </is>
      </c>
      <c r="J249" s="13" t="inlineStr">
        <is>
          <t>explicit</t>
        </is>
      </c>
      <c r="K249" s="13" t="inlineStr">
        <is>
          <t>CAAR/Del/Three Bond/24/2023</t>
        </is>
      </c>
      <c r="L249" s="14" t="inlineStr">
        <is>
          <t>https://www.cbic.gov.in/content/pdf/CONTENTREPO/CAAR/car-delhi-threebond-24.pdf</t>
        </is>
      </c>
      <c r="M249" s="13" t="inlineStr">
        <is>
          <t>YES</t>
        </is>
      </c>
    </row>
    <row r="250">
      <c r="A250" s="13" t="inlineStr">
        <is>
          <t>Delhi Rulings</t>
        </is>
      </c>
      <c r="B250" s="13" t="inlineStr">
        <is>
          <t>25</t>
        </is>
      </c>
      <c r="C250" s="13" t="inlineStr">
        <is>
          <t>246</t>
        </is>
      </c>
      <c r="D250" s="13" t="inlineStr">
        <is>
          <t>M/s Qualcomm India Pvt Ltd.</t>
        </is>
      </c>
      <c r="E250" s="13" t="inlineStr">
        <is>
          <t>24.01.2023</t>
        </is>
      </c>
      <c r="F250" s="13" t="inlineStr">
        <is>
          <t>01.11.2023</t>
        </is>
      </c>
      <c r="G250" s="13" t="inlineStr">
        <is>
          <t>2023</t>
        </is>
      </c>
      <c r="H250" s="13" t="inlineStr">
        <is>
          <t>Classification of the subject goods</t>
        </is>
      </c>
      <c r="I250" s="13" t="inlineStr">
        <is>
          <t>Classification</t>
        </is>
      </c>
      <c r="J250" s="13" t="inlineStr">
        <is>
          <t>explicit</t>
        </is>
      </c>
      <c r="K250" s="13" t="inlineStr">
        <is>
          <t>CAAR/Del/Qualcomm/23/2023</t>
        </is>
      </c>
      <c r="L250" s="14" t="inlineStr">
        <is>
          <t>https://www.cbic.gov.in/content/pdf/CONTENTREPO/CAAR/car-delhi-qualcom-23-24042024.pdf</t>
        </is>
      </c>
      <c r="M250" s="13" t="inlineStr">
        <is>
          <t>YES</t>
        </is>
      </c>
    </row>
    <row r="251">
      <c r="A251" s="13" t="inlineStr">
        <is>
          <t>Delhi Rulings</t>
        </is>
      </c>
      <c r="B251" s="13" t="inlineStr">
        <is>
          <t>25</t>
        </is>
      </c>
      <c r="C251" s="13" t="inlineStr">
        <is>
          <t>247</t>
        </is>
      </c>
      <c r="D251" s="13" t="inlineStr">
        <is>
          <t>M/s Amazon Wholesale India Pvt. Ltd.</t>
        </is>
      </c>
      <c r="E251" s="13" t="inlineStr">
        <is>
          <t>02.03.2023</t>
        </is>
      </c>
      <c r="F251" s="13" t="inlineStr">
        <is>
          <t>27.09.2023</t>
        </is>
      </c>
      <c r="G251" s="13" t="inlineStr">
        <is>
          <t>2023</t>
        </is>
      </c>
      <c r="H251" s="13" t="inlineStr">
        <is>
          <t>Classification of Digital Media Receiver (Model no C2H4R9)Notification no 57/2017 dated 30.06.2017</t>
        </is>
      </c>
      <c r="I251" s="13" t="inlineStr">
        <is>
          <t>Exemption</t>
        </is>
      </c>
      <c r="J251" s="13" t="inlineStr">
        <is>
          <t>explicit</t>
        </is>
      </c>
      <c r="K251" s="13" t="inlineStr">
        <is>
          <t>CAAR/Del/Amazon/22/2023</t>
        </is>
      </c>
      <c r="L251" s="14" t="inlineStr">
        <is>
          <t>https://www.cbic.gov.in/content/pdf/CONTENTREPO/CAAR/ruling-Amazon-02102023.pdf</t>
        </is>
      </c>
      <c r="M251" s="13" t="inlineStr">
        <is>
          <t>YES</t>
        </is>
      </c>
    </row>
    <row r="252">
      <c r="A252" s="13" t="inlineStr">
        <is>
          <t>Delhi Rulings</t>
        </is>
      </c>
      <c r="B252" s="13" t="inlineStr">
        <is>
          <t>25</t>
        </is>
      </c>
      <c r="C252" s="13" t="inlineStr">
        <is>
          <t>248</t>
        </is>
      </c>
      <c r="D252" s="13" t="inlineStr">
        <is>
          <t>M/s Nikon India Pvt Ltd</t>
        </is>
      </c>
      <c r="E252" s="13" t="inlineStr">
        <is>
          <t>07.05.2023</t>
        </is>
      </c>
      <c r="F252" s="13" t="inlineStr">
        <is>
          <t>19.09.2023</t>
        </is>
      </c>
      <c r="G252" s="13" t="inlineStr">
        <is>
          <t>2023</t>
        </is>
      </c>
      <c r="H252" s="13" t="inlineStr">
        <is>
          <t>Classification of Nikon Camera Model no N2120 Notification no 50/2017 dated 30.06.2017.</t>
        </is>
      </c>
      <c r="I252" s="13" t="inlineStr">
        <is>
          <t>Exemption</t>
        </is>
      </c>
      <c r="J252" s="13" t="inlineStr">
        <is>
          <t>explicit</t>
        </is>
      </c>
      <c r="K252" s="13" t="inlineStr">
        <is>
          <t>CAAR/Del/Nikon/21/2023</t>
        </is>
      </c>
      <c r="L252" s="14" t="inlineStr">
        <is>
          <t>https://www.cbic.gov.in/content/pdf/CONTENTREPO/CAAR/ruling-nikon-20092023.pdf</t>
        </is>
      </c>
      <c r="M252" s="13" t="inlineStr">
        <is>
          <t>YES</t>
        </is>
      </c>
    </row>
    <row r="253">
      <c r="A253" s="13" t="inlineStr">
        <is>
          <t>Delhi Rulings</t>
        </is>
      </c>
      <c r="B253" s="13" t="inlineStr">
        <is>
          <t>25</t>
        </is>
      </c>
      <c r="C253" s="13" t="inlineStr">
        <is>
          <t>249</t>
        </is>
      </c>
      <c r="D253" s="13" t="inlineStr">
        <is>
          <t>M/s Fresenius Kabi Oncology Limited</t>
        </is>
      </c>
      <c r="E253" s="13" t="inlineStr">
        <is>
          <t>10.04.2023</t>
        </is>
      </c>
      <c r="F253" s="13" t="inlineStr">
        <is>
          <t>31.08.2023</t>
        </is>
      </c>
      <c r="G253" s="13" t="inlineStr">
        <is>
          <t>2023</t>
        </is>
      </c>
      <c r="H253" s="13" t="inlineStr">
        <is>
          <t>Notification applicability on import of Sponge Platinum for manufacture of Active Pharmaceutical Ing</t>
        </is>
      </c>
      <c r="I253" s="13" t="inlineStr">
        <is>
          <t>Exemption</t>
        </is>
      </c>
      <c r="J253" s="13" t="inlineStr">
        <is>
          <t>explicit</t>
        </is>
      </c>
      <c r="K253" s="13" t="inlineStr">
        <is>
          <t>CAAR/Del/Fresenius/20/2023</t>
        </is>
      </c>
      <c r="L253" s="14" t="inlineStr">
        <is>
          <t>https://www.cbic.gov.in/content/pdf/CONTENTREPO/CAAR/caar-fresenius-20-delhi-rul-30052024.pdf</t>
        </is>
      </c>
      <c r="M253" s="13" t="inlineStr">
        <is>
          <t>YES</t>
        </is>
      </c>
    </row>
    <row r="254">
      <c r="A254" s="13" t="inlineStr">
        <is>
          <t>Delhi Rulings</t>
        </is>
      </c>
      <c r="B254" s="13" t="inlineStr">
        <is>
          <t>25</t>
        </is>
      </c>
      <c r="C254" s="13" t="inlineStr">
        <is>
          <t>250</t>
        </is>
      </c>
      <c r="D254" s="13" t="inlineStr">
        <is>
          <t>M/s Supertron Electronics Pvt Ltd</t>
        </is>
      </c>
      <c r="E254" s="13" t="inlineStr">
        <is>
          <t>14.04.2023</t>
        </is>
      </c>
      <c r="F254" s="13" t="inlineStr">
        <is>
          <t>21.08.2023</t>
        </is>
      </c>
      <c r="G254" s="13" t="inlineStr">
        <is>
          <t>2023</t>
        </is>
      </c>
      <c r="H254" s="13" t="inlineStr">
        <is>
          <t>Classification on import of Optoma Creative Touch 5-Series (IFP).</t>
        </is>
      </c>
      <c r="I254" s="13" t="inlineStr">
        <is>
          <t>Classification</t>
        </is>
      </c>
      <c r="J254" s="13" t="inlineStr">
        <is>
          <t>explicit</t>
        </is>
      </c>
      <c r="K254" s="13" t="inlineStr">
        <is>
          <t>CAAR/Del/Supertron/19/2023</t>
        </is>
      </c>
      <c r="L254" s="14" t="inlineStr">
        <is>
          <t>https://www.cbic.gov.in/content/pdf/CONTENTREPO/CAAR/ruling-supertron-24082023.pdf</t>
        </is>
      </c>
      <c r="M254" s="13" t="inlineStr">
        <is>
          <t>YES</t>
        </is>
      </c>
    </row>
    <row r="255">
      <c r="A255" s="13" t="inlineStr">
        <is>
          <t>Delhi Rulings</t>
        </is>
      </c>
      <c r="B255" s="13" t="inlineStr">
        <is>
          <t>26</t>
        </is>
      </c>
      <c r="C255" s="13" t="inlineStr">
        <is>
          <t>251</t>
        </is>
      </c>
      <c r="D255" s="13" t="inlineStr">
        <is>
          <t>M/s Shree Hari Ananta Overseas Pvt Ltd</t>
        </is>
      </c>
      <c r="E255" s="13" t="inlineStr">
        <is>
          <t>18.05.2023</t>
        </is>
      </c>
      <c r="F255" s="13" t="inlineStr">
        <is>
          <t>04.08.2023</t>
        </is>
      </c>
      <c r="G255" s="13" t="inlineStr">
        <is>
          <t>2023</t>
        </is>
      </c>
      <c r="H255" s="13" t="inlineStr">
        <is>
          <t>Classification on import of Betel Nuts.</t>
        </is>
      </c>
      <c r="I255" s="13" t="inlineStr">
        <is>
          <t>Classification</t>
        </is>
      </c>
      <c r="J255" s="13" t="inlineStr">
        <is>
          <t>explicit</t>
        </is>
      </c>
      <c r="K255" s="13" t="inlineStr">
        <is>
          <t>CAAR/Del/Shree Hari/18/2023</t>
        </is>
      </c>
      <c r="L255" s="14" t="inlineStr">
        <is>
          <t>https://www.cbic.gov.in/content/pdf/CONTENTREPO/CAAR/ruling-shree-hari-24082023.pdf</t>
        </is>
      </c>
      <c r="M255" s="13" t="inlineStr">
        <is>
          <t>YES</t>
        </is>
      </c>
    </row>
    <row r="256">
      <c r="A256" s="13" t="inlineStr">
        <is>
          <t>Delhi Rulings</t>
        </is>
      </c>
      <c r="B256" s="13" t="inlineStr">
        <is>
          <t>26</t>
        </is>
      </c>
      <c r="C256" s="13" t="inlineStr">
        <is>
          <t>252</t>
        </is>
      </c>
      <c r="D256" s="13" t="inlineStr">
        <is>
          <t>M/s Samsung India Electronics Pvt Ltd</t>
        </is>
      </c>
      <c r="E256" s="13" t="inlineStr">
        <is>
          <t>16.03.2023</t>
        </is>
      </c>
      <c r="F256" s="13" t="inlineStr">
        <is>
          <t>31.07.2023</t>
        </is>
      </c>
      <c r="G256" s="13" t="inlineStr">
        <is>
          <t>2023</t>
        </is>
      </c>
      <c r="H256" s="13" t="inlineStr">
        <is>
          <t>Classification and notification applicability on import of Samsung Smart Monitors.</t>
        </is>
      </c>
      <c r="I256" s="13" t="inlineStr">
        <is>
          <t>Exemption</t>
        </is>
      </c>
      <c r="J256" s="13" t="inlineStr">
        <is>
          <t>explicit</t>
        </is>
      </c>
      <c r="K256" s="13" t="inlineStr">
        <is>
          <t>CAAR/Del/Samsung/17/2023</t>
        </is>
      </c>
      <c r="L256" s="14" t="inlineStr">
        <is>
          <t>https://www.cbic.gov.in/content/pdf/CONTENTREPO/CAAR/ruling-samsung-24082023.pdf</t>
        </is>
      </c>
      <c r="M256" s="13" t="inlineStr">
        <is>
          <t>YES</t>
        </is>
      </c>
    </row>
    <row r="257">
      <c r="A257" s="13" t="inlineStr">
        <is>
          <t>Delhi Rulings</t>
        </is>
      </c>
      <c r="B257" s="13" t="inlineStr">
        <is>
          <t>26</t>
        </is>
      </c>
      <c r="C257" s="13" t="inlineStr">
        <is>
          <t>253</t>
        </is>
      </c>
      <c r="D257" s="13" t="inlineStr">
        <is>
          <t>M/s Samsung India Electronics Pvt Ltd</t>
        </is>
      </c>
      <c r="E257" s="13" t="inlineStr">
        <is>
          <t>10.04.2023</t>
        </is>
      </c>
      <c r="F257" s="13" t="inlineStr">
        <is>
          <t>26.07.2023</t>
        </is>
      </c>
      <c r="G257" s="13" t="inlineStr">
        <is>
          <t>2023</t>
        </is>
      </c>
      <c r="H257" s="13" t="inlineStr">
        <is>
          <t>Classification of self-ordering kiosks.</t>
        </is>
      </c>
      <c r="I257" s="13" t="inlineStr">
        <is>
          <t>Classification</t>
        </is>
      </c>
      <c r="J257" s="13" t="inlineStr">
        <is>
          <t>explicit</t>
        </is>
      </c>
      <c r="K257" s="13" t="inlineStr">
        <is>
          <t>CAAR/Del/Samsung/16/2023</t>
        </is>
      </c>
      <c r="L257" s="14" t="inlineStr">
        <is>
          <t>https://www.cbic.gov.in/content/pdf/CONTENTREPO/CAAR/Samsung-162023.pdf</t>
        </is>
      </c>
      <c r="M257" s="13" t="inlineStr">
        <is>
          <t>YES</t>
        </is>
      </c>
    </row>
    <row r="258">
      <c r="A258" s="13" t="inlineStr">
        <is>
          <t>Delhi Rulings</t>
        </is>
      </c>
      <c r="B258" s="13" t="inlineStr">
        <is>
          <t>26</t>
        </is>
      </c>
      <c r="C258" s="13" t="inlineStr">
        <is>
          <t>254</t>
        </is>
      </c>
      <c r="D258" s="13" t="inlineStr">
        <is>
          <t>M/s Amazon Wholesale India Private Limited</t>
        </is>
      </c>
      <c r="E258" s="13" t="inlineStr">
        <is>
          <t>23.12.2022</t>
        </is>
      </c>
      <c r="F258" s="13" t="inlineStr">
        <is>
          <t>12.07.2023</t>
        </is>
      </c>
      <c r="G258" s="13" t="inlineStr">
        <is>
          <t>2023</t>
        </is>
      </c>
      <c r="H258" s="13" t="inlineStr">
        <is>
          <t>Classification of Eco Dot devices.</t>
        </is>
      </c>
      <c r="I258" s="13" t="inlineStr">
        <is>
          <t>Classification</t>
        </is>
      </c>
      <c r="J258" s="13" t="inlineStr">
        <is>
          <t>explicit</t>
        </is>
      </c>
      <c r="K258" s="13" t="inlineStr">
        <is>
          <t>CAAR/Del/Amazon/15/2023</t>
        </is>
      </c>
      <c r="L258" s="14" t="inlineStr">
        <is>
          <t>https://www.cbic.gov.in/content/pdf/CONTENTREPO/CAAR/Amazon-152023.pdf</t>
        </is>
      </c>
      <c r="M258" s="13" t="inlineStr">
        <is>
          <t>YES</t>
        </is>
      </c>
    </row>
    <row r="259">
      <c r="A259" s="13" t="inlineStr">
        <is>
          <t>Delhi Rulings</t>
        </is>
      </c>
      <c r="B259" s="13" t="inlineStr">
        <is>
          <t>26</t>
        </is>
      </c>
      <c r="C259" s="13" t="inlineStr">
        <is>
          <t>255</t>
        </is>
      </c>
      <c r="D259" s="13" t="inlineStr">
        <is>
          <t>M/s Halliburton Offshore Services Inc.</t>
        </is>
      </c>
      <c r="E259" s="13" t="inlineStr">
        <is>
          <t>27.12.2022</t>
        </is>
      </c>
      <c r="F259" s="13" t="inlineStr">
        <is>
          <t>28.06.2023</t>
        </is>
      </c>
      <c r="G259" s="13" t="inlineStr">
        <is>
          <t>2023</t>
        </is>
      </c>
      <c r="H259" s="13" t="inlineStr">
        <is>
          <t>Reimport of goods from SEZ/FTWZ to DTA..</t>
        </is>
      </c>
      <c r="I259" s="13" t="inlineStr">
        <is>
          <t>Exemption</t>
        </is>
      </c>
      <c r="J259" s="13" t="inlineStr">
        <is>
          <t>explicit</t>
        </is>
      </c>
      <c r="K259" s="13" t="inlineStr">
        <is>
          <t>CAAR/Del/ Halliburton/14/2023</t>
        </is>
      </c>
      <c r="L259" s="14" t="inlineStr">
        <is>
          <t>https://www.cbic.gov.in/content/pdf/CONTENTREPO/CAAR/halliburton-services-05072023.pdf</t>
        </is>
      </c>
      <c r="M259" s="13" t="inlineStr">
        <is>
          <t>YES</t>
        </is>
      </c>
    </row>
    <row r="260">
      <c r="A260" s="13" t="inlineStr">
        <is>
          <t>Delhi Rulings</t>
        </is>
      </c>
      <c r="B260" s="13" t="inlineStr">
        <is>
          <t>26</t>
        </is>
      </c>
      <c r="C260" s="13" t="inlineStr">
        <is>
          <t>256</t>
        </is>
      </c>
      <c r="D260" s="13" t="inlineStr">
        <is>
          <t>M/s Baker Hughes Singapore Pte.</t>
        </is>
      </c>
      <c r="E260" s="13" t="inlineStr">
        <is>
          <t>06.01.2023</t>
        </is>
      </c>
      <c r="F260" s="13" t="inlineStr">
        <is>
          <t>28.06.2023</t>
        </is>
      </c>
      <c r="G260" s="13" t="inlineStr">
        <is>
          <t>2023</t>
        </is>
      </c>
      <c r="H260" s="13" t="inlineStr">
        <is>
          <t>Reimport of goods from SEZ/FTWZ to DTA..</t>
        </is>
      </c>
      <c r="I260" s="13" t="inlineStr">
        <is>
          <t>Exemption</t>
        </is>
      </c>
      <c r="J260" s="13" t="inlineStr">
        <is>
          <t>explicit</t>
        </is>
      </c>
      <c r="K260" s="13" t="inlineStr">
        <is>
          <t>CAAR/Del/ Baker Hughes Spore/13/2023</t>
        </is>
      </c>
      <c r="L260" s="14" t="inlineStr">
        <is>
          <t>https://www.cbic.gov.in/content/pdf/CONTENTREPO/CAAR/baker-hughes-singapore-05072023.pdf</t>
        </is>
      </c>
      <c r="M260" s="13" t="inlineStr">
        <is>
          <t>YES</t>
        </is>
      </c>
    </row>
    <row r="261">
      <c r="A261" s="13" t="inlineStr">
        <is>
          <t>Delhi Rulings</t>
        </is>
      </c>
      <c r="B261" s="13" t="inlineStr">
        <is>
          <t>26</t>
        </is>
      </c>
      <c r="C261" s="13" t="inlineStr">
        <is>
          <t>257</t>
        </is>
      </c>
      <c r="D261" s="13" t="inlineStr">
        <is>
          <t>M/s BJ Services Company Middle East Ltd.</t>
        </is>
      </c>
      <c r="E261" s="13" t="inlineStr">
        <is>
          <t>21.12.2023</t>
        </is>
      </c>
      <c r="F261" s="13" t="inlineStr">
        <is>
          <t>28.06.2023</t>
        </is>
      </c>
      <c r="G261" s="13" t="inlineStr">
        <is>
          <t>2023</t>
        </is>
      </c>
      <c r="H261" s="13" t="inlineStr">
        <is>
          <t>Reimport of goods from SEZ/FTWZ to DTA.</t>
        </is>
      </c>
      <c r="I261" s="13" t="inlineStr">
        <is>
          <t>Exemption</t>
        </is>
      </c>
      <c r="J261" s="13" t="inlineStr">
        <is>
          <t>explicit</t>
        </is>
      </c>
      <c r="K261" s="13" t="inlineStr">
        <is>
          <t>CAAR/Del/ BJ Services/12/2023</t>
        </is>
      </c>
      <c r="L261" s="14" t="inlineStr">
        <is>
          <t>https://www.cbic.gov.in/content/pdf/CONTENTREPO/CAAR/bj-services-05072023.pdf</t>
        </is>
      </c>
      <c r="M261" s="13" t="inlineStr">
        <is>
          <t>YES</t>
        </is>
      </c>
    </row>
    <row r="262">
      <c r="A262" s="13" t="inlineStr">
        <is>
          <t>Delhi Rulings</t>
        </is>
      </c>
      <c r="B262" s="13" t="inlineStr">
        <is>
          <t>26</t>
        </is>
      </c>
      <c r="C262" s="13" t="inlineStr">
        <is>
          <t>258</t>
        </is>
      </c>
      <c r="D262" s="13" t="inlineStr">
        <is>
          <t>M/s Socomec India Private Limited.</t>
        </is>
      </c>
      <c r="E262" s="13" t="inlineStr">
        <is>
          <t>19.12.2022</t>
        </is>
      </c>
      <c r="F262" s="13" t="inlineStr">
        <is>
          <t>06.06.2023</t>
        </is>
      </c>
      <c r="G262" s="13" t="inlineStr">
        <is>
          <t>2023</t>
        </is>
      </c>
      <c r="H262" s="13" t="inlineStr">
        <is>
          <t>Classification of UPS and claim of exemption under Notfn No. 25/2005</t>
        </is>
      </c>
      <c r="I262" s="13" t="inlineStr">
        <is>
          <t>Exemption</t>
        </is>
      </c>
      <c r="J262" s="13" t="inlineStr">
        <is>
          <t>explicit</t>
        </is>
      </c>
      <c r="K262" s="13" t="inlineStr">
        <is>
          <t>CAAR/Del/ Socomec/11/2023</t>
        </is>
      </c>
      <c r="L262" s="14" t="inlineStr">
        <is>
          <t>https://www.cbic.gov.in/content/pdf/CONTENTREPO/CAAR/ruling-socomec-27062023.pdf</t>
        </is>
      </c>
      <c r="M262" s="13" t="inlineStr">
        <is>
          <t>YES</t>
        </is>
      </c>
    </row>
    <row r="263">
      <c r="A263" s="13" t="inlineStr">
        <is>
          <t>Delhi Rulings</t>
        </is>
      </c>
      <c r="B263" s="13" t="inlineStr">
        <is>
          <t>26</t>
        </is>
      </c>
      <c r="C263" s="13" t="inlineStr">
        <is>
          <t>259</t>
        </is>
      </c>
      <c r="D263" s="13" t="inlineStr">
        <is>
          <t>M/s Baker Hughes Oilfield Services Private Limited.</t>
        </is>
      </c>
      <c r="E263" s="13" t="inlineStr">
        <is>
          <t>25.01.2023</t>
        </is>
      </c>
      <c r="F263" s="13" t="inlineStr">
        <is>
          <t>28.04.2023</t>
        </is>
      </c>
      <c r="G263" s="13" t="inlineStr">
        <is>
          <t>2023</t>
        </is>
      </c>
      <c r="H263" s="13" t="inlineStr">
        <is>
          <t>Re-import of the goods/ equipments from SEZ/ FTWZ to DTA</t>
        </is>
      </c>
      <c r="I263" s="13" t="inlineStr">
        <is>
          <t>Exemption</t>
        </is>
      </c>
      <c r="J263" s="13" t="inlineStr">
        <is>
          <t>explicit</t>
        </is>
      </c>
      <c r="K263" s="13" t="inlineStr">
        <is>
          <t>CAAR/Del/Baker Hughes/09/2023</t>
        </is>
      </c>
      <c r="L263" s="14" t="inlineStr">
        <is>
          <t>https://www.cbic.gov.in/content/pdf/CONTENTREPO/CAAR/bakers-30052023.pdf</t>
        </is>
      </c>
      <c r="M263" s="13" t="inlineStr">
        <is>
          <t>YES</t>
        </is>
      </c>
    </row>
    <row r="264">
      <c r="A264" s="13" t="inlineStr">
        <is>
          <t>Delhi Rulings</t>
        </is>
      </c>
      <c r="B264" s="13" t="inlineStr">
        <is>
          <t>26</t>
        </is>
      </c>
      <c r="C264" s="13" t="inlineStr">
        <is>
          <t>260</t>
        </is>
      </c>
      <c r="D264" s="13" t="inlineStr">
        <is>
          <t>M/s Superton Electronics Private Limited.</t>
        </is>
      </c>
      <c r="E264" s="13" t="inlineStr">
        <is>
          <t>20.12.2022</t>
        </is>
      </c>
      <c r="F264" s="13" t="inlineStr">
        <is>
          <t>09.05.2023</t>
        </is>
      </c>
      <c r="G264" s="13" t="inlineStr">
        <is>
          <t>2023</t>
        </is>
      </c>
      <c r="H264" s="13" t="inlineStr">
        <is>
          <t>Classification of Optoma Creative Touch-3 Series Interactive Flat Panel (IFP).</t>
        </is>
      </c>
      <c r="I264" s="13" t="inlineStr">
        <is>
          <t>Classification</t>
        </is>
      </c>
      <c r="J264" s="13" t="inlineStr">
        <is>
          <t>explicit</t>
        </is>
      </c>
      <c r="K264" s="13" t="inlineStr">
        <is>
          <t>CAAR/Del/Supertron/10/2023</t>
        </is>
      </c>
      <c r="L264" s="14" t="inlineStr">
        <is>
          <t>https://www.cbic.gov.in/content/pdf/CONTENTREPO/CAAR/Supertron-10-30052023.pdf</t>
        </is>
      </c>
      <c r="M264" s="13" t="inlineStr">
        <is>
          <t>YES</t>
        </is>
      </c>
    </row>
    <row r="265">
      <c r="A265" s="13" t="inlineStr">
        <is>
          <t>Delhi Rulings</t>
        </is>
      </c>
      <c r="B265" s="13" t="inlineStr">
        <is>
          <t>27</t>
        </is>
      </c>
      <c r="C265" s="13" t="inlineStr">
        <is>
          <t>261</t>
        </is>
      </c>
      <c r="D265" s="13" t="inlineStr">
        <is>
          <t>M/s Amazon wholesale India Private Limited</t>
        </is>
      </c>
      <c r="E265" s="13" t="inlineStr">
        <is>
          <t>19.09.2022</t>
        </is>
      </c>
      <c r="F265" s="13" t="inlineStr">
        <is>
          <t>19.04.2023</t>
        </is>
      </c>
      <c r="G265" s="13" t="inlineStr">
        <is>
          <t>2023</t>
        </is>
      </c>
      <c r="H265" s="13" t="inlineStr">
        <is>
          <t>Classification of Media Streaming Device[Fire TV Cube- 3rd Generation and Fire TV Alexa Voice Remote</t>
        </is>
      </c>
      <c r="I265" s="13" t="inlineStr">
        <is>
          <t>Classification</t>
        </is>
      </c>
      <c r="J265" s="13" t="inlineStr">
        <is>
          <t>explicit</t>
        </is>
      </c>
      <c r="K265" s="13" t="inlineStr">
        <is>
          <t>CAAR/Del/Amazon/08/2023</t>
        </is>
      </c>
      <c r="L265" s="14" t="inlineStr">
        <is>
          <t>https://www.cbic.gov.in/content/pdf/CONTENTREPO/CAAR/caar-amazon-08-delhi-rul-30052024.pdf</t>
        </is>
      </c>
      <c r="M265" s="13" t="inlineStr">
        <is>
          <t>YES</t>
        </is>
      </c>
    </row>
    <row r="266">
      <c r="A266" s="13" t="inlineStr">
        <is>
          <t>Delhi Rulings</t>
        </is>
      </c>
      <c r="B266" s="13" t="inlineStr">
        <is>
          <t>27</t>
        </is>
      </c>
      <c r="C266" s="13" t="inlineStr">
        <is>
          <t>262</t>
        </is>
      </c>
      <c r="D266" s="13" t="inlineStr">
        <is>
          <t>M/s Amazon wholesale India Private Limited</t>
        </is>
      </c>
      <c r="E266" s="13" t="inlineStr">
        <is>
          <t>03.10.2022</t>
        </is>
      </c>
      <c r="F266" s="13" t="inlineStr">
        <is>
          <t>27.03.2023</t>
        </is>
      </c>
      <c r="G266" s="13" t="inlineStr">
        <is>
          <t>2023</t>
        </is>
      </c>
      <c r="H266" s="13" t="inlineStr">
        <is>
          <t>Classification of Electronics Display Device (E-Reader) (Kindle 11th Gen).</t>
        </is>
      </c>
      <c r="I266" s="13" t="inlineStr">
        <is>
          <t>Classification</t>
        </is>
      </c>
      <c r="J266" s="13" t="inlineStr">
        <is>
          <t>explicit</t>
        </is>
      </c>
      <c r="K266" s="13" t="inlineStr">
        <is>
          <t>CAAR/Del/Amazon/07/2023</t>
        </is>
      </c>
      <c r="L266" s="14" t="inlineStr">
        <is>
          <t>https://www.cbic.gov.in/content/pdf/CONTENTREPO/CAAR/caar-amazon-07-delhi-rul-30052024.pdf</t>
        </is>
      </c>
      <c r="M266" s="13" t="inlineStr">
        <is>
          <t>YES</t>
        </is>
      </c>
    </row>
    <row r="267">
      <c r="A267" s="13" t="inlineStr">
        <is>
          <t>Delhi Rulings</t>
        </is>
      </c>
      <c r="B267" s="13" t="inlineStr">
        <is>
          <t>27</t>
        </is>
      </c>
      <c r="C267" s="13" t="inlineStr">
        <is>
          <t>263</t>
        </is>
      </c>
      <c r="D267" s="13" t="inlineStr">
        <is>
          <t>M/s Supertron Electronics Private Limited</t>
        </is>
      </c>
      <c r="E267" s="13" t="inlineStr">
        <is>
          <t>11.11.2022</t>
        </is>
      </c>
      <c r="F267" s="13" t="inlineStr">
        <is>
          <t>09.03.2023</t>
        </is>
      </c>
      <c r="G267" s="13" t="inlineStr">
        <is>
          <t>2023</t>
        </is>
      </c>
      <c r="H267" s="13" t="inlineStr">
        <is>
          <t>Classification of Data Projectors.</t>
        </is>
      </c>
      <c r="I267" s="13" t="inlineStr">
        <is>
          <t>Classification</t>
        </is>
      </c>
      <c r="J267" s="13" t="inlineStr">
        <is>
          <t>explicit</t>
        </is>
      </c>
      <c r="K267" s="13" t="inlineStr">
        <is>
          <t>CAAR/Del/Supertron/06/2023</t>
        </is>
      </c>
      <c r="L267" s="14" t="inlineStr">
        <is>
          <t>https://www.cbic.gov.in/content/pdf/CONTENTREPO/CAAR/supertron-electronics-09march2023.pdf</t>
        </is>
      </c>
      <c r="M267" s="13" t="inlineStr">
        <is>
          <t>YES</t>
        </is>
      </c>
    </row>
    <row r="268">
      <c r="A268" s="13" t="inlineStr">
        <is>
          <t>Delhi Rulings</t>
        </is>
      </c>
      <c r="B268" s="13" t="inlineStr">
        <is>
          <t>27</t>
        </is>
      </c>
      <c r="C268" s="13" t="inlineStr">
        <is>
          <t>264</t>
        </is>
      </c>
      <c r="D268" s="13" t="inlineStr">
        <is>
          <t>M/s Wholesome Essentials</t>
        </is>
      </c>
      <c r="E268" s="13" t="inlineStr">
        <is>
          <t>15.11.2022</t>
        </is>
      </c>
      <c r="F268" s="13" t="inlineStr">
        <is>
          <t>23.02.2023</t>
        </is>
      </c>
      <c r="G268" s="13" t="inlineStr">
        <is>
          <t>2023</t>
        </is>
      </c>
      <c r="H268" s="13" t="inlineStr">
        <is>
          <t>Classification of Dried Black Currant 08062010.</t>
        </is>
      </c>
      <c r="I268" s="13" t="inlineStr">
        <is>
          <t>Classification</t>
        </is>
      </c>
      <c r="J268" s="13" t="inlineStr">
        <is>
          <t>explicit</t>
        </is>
      </c>
      <c r="K268" s="13" t="inlineStr">
        <is>
          <t>CAAR/Del/Wholesome/05/2023</t>
        </is>
      </c>
      <c r="L268" s="14" t="inlineStr">
        <is>
          <t>https://www.cbic.gov.in/content/pdf/CONTENTREPO/CAAR/Dried-Black-Currant-27022023.pdf</t>
        </is>
      </c>
      <c r="M268" s="13" t="inlineStr">
        <is>
          <t>YES</t>
        </is>
      </c>
    </row>
    <row r="269">
      <c r="A269" s="13" t="inlineStr">
        <is>
          <t>Delhi Rulings</t>
        </is>
      </c>
      <c r="B269" s="13" t="inlineStr">
        <is>
          <t>27</t>
        </is>
      </c>
      <c r="C269" s="13" t="inlineStr">
        <is>
          <t>265</t>
        </is>
      </c>
      <c r="D269" s="13" t="inlineStr">
        <is>
          <t>M/s Hitachi Astemo FIE Private Limited</t>
        </is>
      </c>
      <c r="E269" s="13" t="inlineStr">
        <is>
          <t>30.08.2022</t>
        </is>
      </c>
      <c r="F269" s="13" t="inlineStr">
        <is>
          <t>02.02.2023</t>
        </is>
      </c>
      <c r="G269" s="13" t="inlineStr">
        <is>
          <t>2023</t>
        </is>
      </c>
      <c r="H269" s="13" t="inlineStr">
        <is>
          <t>Classification of stepper motor under Sub-heading 85011012.</t>
        </is>
      </c>
      <c r="I269" s="13" t="inlineStr">
        <is>
          <t>Classification</t>
        </is>
      </c>
      <c r="J269" s="13" t="inlineStr">
        <is>
          <t>explicit</t>
        </is>
      </c>
      <c r="K269" s="13" t="inlineStr">
        <is>
          <t>CAAR/Del/Hitachi/04/2023</t>
        </is>
      </c>
      <c r="L269" s="14" t="inlineStr">
        <is>
          <t>https://www.cbic.gov.in/content/pdf/CONTENTREPO/CAAR/hitachi-02022023.pdf</t>
        </is>
      </c>
      <c r="M269" s="13" t="inlineStr">
        <is>
          <t>YES</t>
        </is>
      </c>
    </row>
    <row r="270">
      <c r="A270" s="13" t="inlineStr">
        <is>
          <t>Delhi Rulings</t>
        </is>
      </c>
      <c r="B270" s="13" t="inlineStr">
        <is>
          <t>27</t>
        </is>
      </c>
      <c r="C270" s="13" t="inlineStr">
        <is>
          <t>266</t>
        </is>
      </c>
      <c r="D270" s="13" t="inlineStr">
        <is>
          <t>M/s Canon India Private Limited</t>
        </is>
      </c>
      <c r="E270" s="13" t="inlineStr">
        <is>
          <t>01.09.2022</t>
        </is>
      </c>
      <c r="F270" s="13" t="inlineStr">
        <is>
          <t>24.01.2023</t>
        </is>
      </c>
      <c r="G270" s="13" t="inlineStr">
        <is>
          <t>2023</t>
        </is>
      </c>
      <c r="H270" s="13" t="inlineStr">
        <is>
          <t>Classification and notification applicability on import of Canon Camera.</t>
        </is>
      </c>
      <c r="I270" s="13" t="inlineStr">
        <is>
          <t>Exemption</t>
        </is>
      </c>
      <c r="J270" s="13" t="inlineStr">
        <is>
          <t>explicit</t>
        </is>
      </c>
      <c r="K270" s="13" t="inlineStr">
        <is>
          <t>CAAR/Del/ Canon/03/2023</t>
        </is>
      </c>
      <c r="L270" s="14" t="inlineStr">
        <is>
          <t>https://www.cbic.gov.in/content/pdf/CONTENTREPO/CAAR/caar-canon-03-delhi-rul-30052024.pdf</t>
        </is>
      </c>
      <c r="M270" s="13" t="inlineStr">
        <is>
          <t>YES</t>
        </is>
      </c>
    </row>
    <row r="271">
      <c r="A271" s="13" t="inlineStr">
        <is>
          <t>Delhi Rulings</t>
        </is>
      </c>
      <c r="B271" s="13" t="inlineStr">
        <is>
          <t>27</t>
        </is>
      </c>
      <c r="C271" s="13" t="inlineStr">
        <is>
          <t>267</t>
        </is>
      </c>
      <c r="D271" s="13" t="inlineStr">
        <is>
          <t>M/s Canon India Private Limited</t>
        </is>
      </c>
      <c r="E271" s="13" t="inlineStr">
        <is>
          <t>01.09.2022</t>
        </is>
      </c>
      <c r="F271" s="13" t="inlineStr">
        <is>
          <t>13.01.2023</t>
        </is>
      </c>
      <c r="G271" s="13" t="inlineStr">
        <is>
          <t>2023</t>
        </is>
      </c>
      <c r="H271" s="13" t="inlineStr">
        <is>
          <t>Classification and notification applicability on import of Canon Camera.</t>
        </is>
      </c>
      <c r="I271" s="13" t="inlineStr">
        <is>
          <t>Exemption</t>
        </is>
      </c>
      <c r="J271" s="13" t="inlineStr">
        <is>
          <t>explicit</t>
        </is>
      </c>
      <c r="K271" s="13" t="inlineStr">
        <is>
          <t>CAAR/Del/ Canon/02/2023</t>
        </is>
      </c>
      <c r="L271" s="14" t="inlineStr">
        <is>
          <t>https://www.cbic.gov.in/content/pdf/CONTENTREPO/CAAR/caar-canon-02-delhi-rul-30052024.pdf</t>
        </is>
      </c>
      <c r="M271" s="13" t="inlineStr">
        <is>
          <t>YES</t>
        </is>
      </c>
    </row>
    <row r="272">
      <c r="A272" s="13" t="inlineStr">
        <is>
          <t>Delhi Rulings</t>
        </is>
      </c>
      <c r="B272" s="13" t="inlineStr">
        <is>
          <t>27</t>
        </is>
      </c>
      <c r="C272" s="13" t="inlineStr">
        <is>
          <t>268</t>
        </is>
      </c>
      <c r="D272" s="13" t="inlineStr">
        <is>
          <t>M/s Supertron Electronics Private Limited</t>
        </is>
      </c>
      <c r="E272" s="13" t="inlineStr">
        <is>
          <t>10.08.2022</t>
        </is>
      </c>
      <c r="F272" s="13" t="inlineStr">
        <is>
          <t>05.01.2023</t>
        </is>
      </c>
      <c r="G272" s="13" t="inlineStr">
        <is>
          <t>2023</t>
        </is>
      </c>
      <c r="H272" s="13" t="inlineStr">
        <is>
          <t>Classification on import of Data Projector.</t>
        </is>
      </c>
      <c r="I272" s="13" t="inlineStr">
        <is>
          <t>Classification</t>
        </is>
      </c>
      <c r="J272" s="13" t="inlineStr">
        <is>
          <t>explicit</t>
        </is>
      </c>
      <c r="K272" s="13" t="inlineStr">
        <is>
          <t>CAAR/Del/ Supertron/01/2023</t>
        </is>
      </c>
      <c r="L272" s="14" t="inlineStr">
        <is>
          <t>https://www.cbic.gov.in/content/pdf/CONTENTREPO/CAAR/supertron-electronics-05012023.pdf</t>
        </is>
      </c>
      <c r="M272" s="13" t="inlineStr">
        <is>
          <t>YES</t>
        </is>
      </c>
    </row>
    <row r="273">
      <c r="A273" s="13" t="inlineStr">
        <is>
          <t>Delhi Rulings</t>
        </is>
      </c>
      <c r="B273" s="13" t="inlineStr">
        <is>
          <t>27</t>
        </is>
      </c>
      <c r="C273" s="13" t="inlineStr">
        <is>
          <t>269</t>
        </is>
      </c>
      <c r="D273" s="13" t="inlineStr">
        <is>
          <t>M/s Holitech India Pvt. Ltd</t>
        </is>
      </c>
      <c r="E273" s="13" t="inlineStr">
        <is>
          <t>04.04.2022</t>
        </is>
      </c>
      <c r="F273" s="13" t="inlineStr">
        <is>
          <t>29.12.2022</t>
        </is>
      </c>
      <c r="G273" s="13" t="inlineStr">
        <is>
          <t>2022</t>
        </is>
      </c>
      <c r="H273" s="13" t="inlineStr">
        <is>
          <t>Classification of display assembly/module</t>
        </is>
      </c>
      <c r="I273" s="13" t="inlineStr">
        <is>
          <t>Classification</t>
        </is>
      </c>
      <c r="J273" s="13" t="inlineStr">
        <is>
          <t>explicit</t>
        </is>
      </c>
      <c r="K273" s="13" t="inlineStr">
        <is>
          <t>CAAR/Del/Holitech/17/2022</t>
        </is>
      </c>
      <c r="L273" s="14" t="inlineStr">
        <is>
          <t>https://www.cbic.gov.in/content/pdf/CONTENTREPO/CAAR/holitech-del-ruling-17-30dec2022.pdf</t>
        </is>
      </c>
      <c r="M273" s="13" t="inlineStr">
        <is>
          <t>YES</t>
        </is>
      </c>
    </row>
    <row r="274">
      <c r="A274" s="13" t="inlineStr">
        <is>
          <t>Delhi Rulings</t>
        </is>
      </c>
      <c r="B274" s="13" t="inlineStr">
        <is>
          <t>27</t>
        </is>
      </c>
      <c r="C274" s="13" t="inlineStr">
        <is>
          <t>270</t>
        </is>
      </c>
      <c r="D274" s="13" t="inlineStr">
        <is>
          <t>M/s Supertron Electronics Private Limited</t>
        </is>
      </c>
      <c r="E274" s="13" t="inlineStr">
        <is>
          <t>03.02.2022</t>
        </is>
      </c>
      <c r="F274" s="13" t="inlineStr">
        <is>
          <t>23.12.2022</t>
        </is>
      </c>
      <c r="G274" s="13" t="inlineStr">
        <is>
          <t>2022</t>
        </is>
      </c>
      <c r="H274" s="13" t="inlineStr">
        <is>
          <t>Classification on import of Data Projectors</t>
        </is>
      </c>
      <c r="I274" s="13" t="inlineStr">
        <is>
          <t>Classification</t>
        </is>
      </c>
      <c r="J274" s="13" t="inlineStr">
        <is>
          <t>explicit</t>
        </is>
      </c>
      <c r="K274" s="13" t="inlineStr">
        <is>
          <t>CAAR/Del/Supertron/16/2022</t>
        </is>
      </c>
      <c r="L274" s="14" t="inlineStr">
        <is>
          <t>https://www.cbic.gov.in/content/pdf/CONTENTREPO/CAAR/supretron-ruling-16-30dec2022.pdf</t>
        </is>
      </c>
      <c r="M274" s="13" t="inlineStr">
        <is>
          <t>YES</t>
        </is>
      </c>
    </row>
    <row r="275">
      <c r="A275" s="13" t="inlineStr">
        <is>
          <t>Delhi Rulings</t>
        </is>
      </c>
      <c r="B275" s="13" t="inlineStr">
        <is>
          <t>28</t>
        </is>
      </c>
      <c r="C275" s="13" t="inlineStr">
        <is>
          <t>271</t>
        </is>
      </c>
      <c r="D275" s="13" t="inlineStr">
        <is>
          <t>M/s Green Infra Clean Wind Power Limited.</t>
        </is>
      </c>
      <c r="E275" s="13" t="inlineStr">
        <is>
          <t>26.09.2022</t>
        </is>
      </c>
      <c r="F275" s="13" t="inlineStr">
        <is>
          <t>24.11.2022</t>
        </is>
      </c>
      <c r="G275" s="13" t="inlineStr">
        <is>
          <t>2022</t>
        </is>
      </c>
      <c r="H275" s="13" t="inlineStr">
        <is>
          <t>Clarification on import of goods in setting up of Solar Power Plant under PIR 1986</t>
        </is>
      </c>
      <c r="I275" s="13" t="inlineStr">
        <is>
          <t>Classification</t>
        </is>
      </c>
      <c r="J275" s="13" t="inlineStr">
        <is>
          <t>inferred</t>
        </is>
      </c>
      <c r="K275" s="13" t="inlineStr">
        <is>
          <t>CAAR/Delhi/ Green Infra/15/2022</t>
        </is>
      </c>
      <c r="L275" s="14" t="inlineStr">
        <is>
          <t>https://www.cbic.gov.in/content/pdf/CONTENTREPO/CAAR/green-infra-ruling-25nov2022.pdf</t>
        </is>
      </c>
      <c r="M275" s="13" t="inlineStr">
        <is>
          <t>YES</t>
        </is>
      </c>
    </row>
    <row r="276">
      <c r="A276" s="13" t="inlineStr">
        <is>
          <t>Delhi Rulings</t>
        </is>
      </c>
      <c r="B276" s="13" t="inlineStr">
        <is>
          <t>28</t>
        </is>
      </c>
      <c r="C276" s="13" t="inlineStr">
        <is>
          <t>272</t>
        </is>
      </c>
      <c r="D276" s="13" t="inlineStr">
        <is>
          <t>M/s SMI- Amtek Cranshaft Pvt. Ltd.</t>
        </is>
      </c>
      <c r="E276" s="13" t="inlineStr">
        <is>
          <t>29.08.2022</t>
        </is>
      </c>
      <c r="F276" s="13" t="inlineStr">
        <is>
          <t>21.11.2022</t>
        </is>
      </c>
      <c r="G276" s="13" t="inlineStr">
        <is>
          <t>2022</t>
        </is>
      </c>
      <c r="H276" s="13" t="inlineStr">
        <is>
          <t>Classification of Mould Base</t>
        </is>
      </c>
      <c r="I276" s="13" t="inlineStr">
        <is>
          <t>Classification</t>
        </is>
      </c>
      <c r="J276" s="13" t="inlineStr">
        <is>
          <t>explicit</t>
        </is>
      </c>
      <c r="K276" s="13" t="inlineStr">
        <is>
          <t>CAAR/Delhi/ SMI-Amtek/14/2022</t>
        </is>
      </c>
      <c r="L276" s="14" t="inlineStr">
        <is>
          <t>https://www.cbic.gov.in/content/pdf/CONTENTREPO/CAAR/smi-amtek-ruling-22112022.pdf</t>
        </is>
      </c>
      <c r="M276" s="13" t="inlineStr">
        <is>
          <t>YES</t>
        </is>
      </c>
    </row>
    <row r="277">
      <c r="A277" s="13" t="inlineStr">
        <is>
          <t>Delhi Rulings</t>
        </is>
      </c>
      <c r="B277" s="13" t="inlineStr">
        <is>
          <t>28</t>
        </is>
      </c>
      <c r="C277" s="13" t="inlineStr">
        <is>
          <t>273</t>
        </is>
      </c>
      <c r="D277" s="13" t="inlineStr">
        <is>
          <t>M/s HP India Sales Pvt. Ltd</t>
        </is>
      </c>
      <c r="E277" s="13" t="inlineStr">
        <is>
          <t>23.05.2022</t>
        </is>
      </c>
      <c r="F277" s="13" t="inlineStr">
        <is>
          <t>18.11.2022</t>
        </is>
      </c>
      <c r="G277" s="13" t="inlineStr">
        <is>
          <t>2022</t>
        </is>
      </c>
      <c r="H277" s="13" t="inlineStr">
        <is>
          <t>Classification of Laser Jet Printer</t>
        </is>
      </c>
      <c r="I277" s="13" t="inlineStr">
        <is>
          <t>Classification</t>
        </is>
      </c>
      <c r="J277" s="13" t="inlineStr">
        <is>
          <t>explicit</t>
        </is>
      </c>
      <c r="K277" s="13" t="inlineStr">
        <is>
          <t>CAAR/Delhi/ HP India/13/2022</t>
        </is>
      </c>
      <c r="L277" s="14" t="inlineStr">
        <is>
          <t>https://www.cbic.gov.in/content/pdf/CONTENTREPO/CAAR/hp-india-ruling-21112022.pdf</t>
        </is>
      </c>
      <c r="M277" s="13" t="inlineStr">
        <is>
          <t>YES</t>
        </is>
      </c>
    </row>
    <row r="278">
      <c r="A278" s="13" t="inlineStr">
        <is>
          <t>Delhi Rulings</t>
        </is>
      </c>
      <c r="B278" s="13" t="inlineStr">
        <is>
          <t>28</t>
        </is>
      </c>
      <c r="C278" s="13" t="inlineStr">
        <is>
          <t>274</t>
        </is>
      </c>
      <c r="D278" s="13" t="inlineStr">
        <is>
          <t>M/s Canon India Pvt Ltd 7th Floor Tower B Building No. 5 DFL Epitome DLF Phase III Gurugram Haryana
Read More..</t>
        </is>
      </c>
      <c r="E278" s="13" t="inlineStr">
        <is>
          <t>29.04.2022</t>
        </is>
      </c>
      <c r="F278" s="13" t="inlineStr">
        <is>
          <t>19.09.2022</t>
        </is>
      </c>
      <c r="G278" s="13" t="inlineStr">
        <is>
          <t>2022</t>
        </is>
      </c>
      <c r="H278" s="13" t="inlineStr">
        <is>
          <t>Classification of Camera</t>
        </is>
      </c>
      <c r="I278" s="13" t="inlineStr">
        <is>
          <t>Classification</t>
        </is>
      </c>
      <c r="J278" s="13" t="inlineStr">
        <is>
          <t>explicit</t>
        </is>
      </c>
      <c r="K278" s="13" t="inlineStr"/>
      <c r="L278" s="14" t="inlineStr">
        <is>
          <t>https://www.cbic.gov.in/content/pdf/CONTENTREPO/CAAR/caar-del-canon-12-08may2024.pdf</t>
        </is>
      </c>
      <c r="M278" s="13" t="inlineStr">
        <is>
          <t>YES</t>
        </is>
      </c>
    </row>
    <row r="279">
      <c r="A279" s="13" t="inlineStr">
        <is>
          <t>Delhi Rulings</t>
        </is>
      </c>
      <c r="B279" s="13" t="inlineStr">
        <is>
          <t>28</t>
        </is>
      </c>
      <c r="C279" s="13" t="inlineStr">
        <is>
          <t>275</t>
        </is>
      </c>
      <c r="D279" s="13" t="inlineStr">
        <is>
          <t>M/s Amazon Wholesale (India) Private Limited</t>
        </is>
      </c>
      <c r="E279" s="13" t="inlineStr">
        <is>
          <t>17.08.2021</t>
        </is>
      </c>
      <c r="F279" s="13" t="inlineStr">
        <is>
          <t>12.09.2022</t>
        </is>
      </c>
      <c r="G279" s="13" t="inlineStr">
        <is>
          <t>2022</t>
        </is>
      </c>
      <c r="H279" s="13" t="inlineStr">
        <is>
          <t>Classification of Echo Buds.</t>
        </is>
      </c>
      <c r="I279" s="13" t="inlineStr">
        <is>
          <t>Classification</t>
        </is>
      </c>
      <c r="J279" s="13" t="inlineStr">
        <is>
          <t>explicit</t>
        </is>
      </c>
      <c r="K279" s="13" t="inlineStr">
        <is>
          <t>CAAR/Del/Amazon/11/2022</t>
        </is>
      </c>
      <c r="L279" s="14" t="inlineStr">
        <is>
          <t>https://www.cbic.gov.in/content/pdf/CONTENTREPO/CAAR/caar-amazon-11-delhi-rul-30052024.pdf</t>
        </is>
      </c>
      <c r="M279" s="13" t="inlineStr">
        <is>
          <t>YES</t>
        </is>
      </c>
    </row>
    <row r="280">
      <c r="A280" s="13" t="inlineStr">
        <is>
          <t>Delhi Rulings</t>
        </is>
      </c>
      <c r="B280" s="13" t="inlineStr">
        <is>
          <t>28</t>
        </is>
      </c>
      <c r="C280" s="13" t="inlineStr">
        <is>
          <t>276</t>
        </is>
      </c>
      <c r="D280" s="13" t="inlineStr">
        <is>
          <t>M/s Mitsubishi Electric India Pvt Ltd</t>
        </is>
      </c>
      <c r="E280" s="13" t="inlineStr">
        <is>
          <t>20.01.2022</t>
        </is>
      </c>
      <c r="F280" s="13" t="inlineStr">
        <is>
          <t>30.08.2022</t>
        </is>
      </c>
      <c r="G280" s="13" t="inlineStr">
        <is>
          <t>2022</t>
        </is>
      </c>
      <c r="H280" s="13" t="inlineStr">
        <is>
          <t>Classification of Air Conditioners in CKD/SKD condition.</t>
        </is>
      </c>
      <c r="I280" s="13" t="inlineStr">
        <is>
          <t>Classification</t>
        </is>
      </c>
      <c r="J280" s="13" t="inlineStr">
        <is>
          <t>explicit</t>
        </is>
      </c>
      <c r="K280" s="13" t="inlineStr">
        <is>
          <t>CAAR/Del/Mitsubishi/10/2022</t>
        </is>
      </c>
      <c r="L280" s="14" t="inlineStr">
        <is>
          <t>https://www.cbic.gov.in/content/pdf/CONTENTREPO/CAAR/mitubishi-31082022.pdf</t>
        </is>
      </c>
      <c r="M280" s="13" t="inlineStr">
        <is>
          <t>YES</t>
        </is>
      </c>
    </row>
    <row r="281">
      <c r="A281" s="13" t="inlineStr">
        <is>
          <t>Delhi Rulings</t>
        </is>
      </c>
      <c r="B281" s="13" t="inlineStr">
        <is>
          <t>28</t>
        </is>
      </c>
      <c r="C281" s="13" t="inlineStr">
        <is>
          <t>277</t>
        </is>
      </c>
      <c r="D281" s="13" t="inlineStr">
        <is>
          <t>M/s HQ Lamps Manufacturing Co. Pvt Ltd</t>
        </is>
      </c>
      <c r="E281" s="13" t="inlineStr">
        <is>
          <t>21.03.2022</t>
        </is>
      </c>
      <c r="F281" s="13" t="inlineStr">
        <is>
          <t>08.08.2022</t>
        </is>
      </c>
      <c r="G281" s="13" t="inlineStr">
        <is>
          <t>2022</t>
        </is>
      </c>
      <c r="H281" s="13" t="inlineStr">
        <is>
          <t>Classification of LED emergency light and applicability of Notification.</t>
        </is>
      </c>
      <c r="I281" s="13" t="inlineStr">
        <is>
          <t>Exemption</t>
        </is>
      </c>
      <c r="J281" s="13" t="inlineStr">
        <is>
          <t>explicit</t>
        </is>
      </c>
      <c r="K281" s="13" t="inlineStr">
        <is>
          <t>CAAR/Del/HQ Lamps/09/2022</t>
        </is>
      </c>
      <c r="L281" s="14" t="inlineStr">
        <is>
          <t>https://www.cbic.gov.in/content/pdf/CONTENTREPO/CAAR/hq-lamps-08082022.pdf</t>
        </is>
      </c>
      <c r="M281" s="13" t="inlineStr">
        <is>
          <t>YES</t>
        </is>
      </c>
    </row>
    <row r="282">
      <c r="A282" s="13" t="inlineStr">
        <is>
          <t>Delhi Rulings</t>
        </is>
      </c>
      <c r="B282" s="13" t="inlineStr">
        <is>
          <t>28</t>
        </is>
      </c>
      <c r="C282" s="13" t="inlineStr">
        <is>
          <t>278</t>
        </is>
      </c>
      <c r="D282" s="13" t="inlineStr">
        <is>
          <t>M/s Volvo Auto India Pvt Ltd</t>
        </is>
      </c>
      <c r="E282" s="13" t="inlineStr">
        <is>
          <t>26.04.2022</t>
        </is>
      </c>
      <c r="F282" s="13" t="inlineStr">
        <is>
          <t>04.08.2022</t>
        </is>
      </c>
      <c r="G282" s="13" t="inlineStr">
        <is>
          <t>2022</t>
        </is>
      </c>
      <c r="H282" s="13" t="inlineStr">
        <is>
          <t>Classification of Imported Electric Vehicle Kits.</t>
        </is>
      </c>
      <c r="I282" s="13" t="inlineStr">
        <is>
          <t>Classification</t>
        </is>
      </c>
      <c r="J282" s="13" t="inlineStr">
        <is>
          <t>explicit</t>
        </is>
      </c>
      <c r="K282" s="13" t="inlineStr">
        <is>
          <t>CAAR/Del/Volvo Auto/08/2022</t>
        </is>
      </c>
      <c r="L282" s="14" t="inlineStr">
        <is>
          <t>https://www.cbic.gov.in/content/pdf/CONTENTREPO/CAAR/volvo-26072023.pdf</t>
        </is>
      </c>
      <c r="M282" s="13" t="inlineStr">
        <is>
          <t>YES</t>
        </is>
      </c>
    </row>
    <row r="283">
      <c r="A283" s="13" t="inlineStr">
        <is>
          <t>Delhi Rulings</t>
        </is>
      </c>
      <c r="B283" s="13" t="inlineStr">
        <is>
          <t>28</t>
        </is>
      </c>
      <c r="C283" s="13" t="inlineStr">
        <is>
          <t>279</t>
        </is>
      </c>
      <c r="D283" s="13" t="inlineStr">
        <is>
          <t>M/s Shreedhra Agro LLP</t>
        </is>
      </c>
      <c r="E283" s="13" t="inlineStr">
        <is>
          <t>04.02.2022</t>
        </is>
      </c>
      <c r="F283" s="13" t="inlineStr">
        <is>
          <t>22.06.2022</t>
        </is>
      </c>
      <c r="G283" s="13" t="inlineStr">
        <is>
          <t>2022</t>
        </is>
      </c>
      <c r="H283" s="13" t="inlineStr">
        <is>
          <t>Classification of Betel Nut</t>
        </is>
      </c>
      <c r="I283" s="13" t="inlineStr">
        <is>
          <t>Classification</t>
        </is>
      </c>
      <c r="J283" s="13" t="inlineStr">
        <is>
          <t>explicit</t>
        </is>
      </c>
      <c r="K283" s="13" t="inlineStr">
        <is>
          <t>CAAR/Del/Shreedhra/07/2022</t>
        </is>
      </c>
      <c r="L283" s="14" t="inlineStr">
        <is>
          <t>https://www.cbic.gov.in/content/pdf/CONTENTREPO/CAAR/Shreedhra-Agro-LLP-23062022.pdf</t>
        </is>
      </c>
      <c r="M283" s="13" t="inlineStr">
        <is>
          <t>YES</t>
        </is>
      </c>
    </row>
    <row r="284">
      <c r="A284" s="13" t="inlineStr">
        <is>
          <t>Delhi Rulings</t>
        </is>
      </c>
      <c r="B284" s="13" t="inlineStr">
        <is>
          <t>28</t>
        </is>
      </c>
      <c r="C284" s="13" t="inlineStr">
        <is>
          <t>280</t>
        </is>
      </c>
      <c r="D284" s="13" t="inlineStr">
        <is>
          <t>M/s Nuttish Exim India Pvt Ltd</t>
        </is>
      </c>
      <c r="E284" s="13" t="inlineStr">
        <is>
          <t>15.04.2021</t>
        </is>
      </c>
      <c r="F284" s="13" t="inlineStr">
        <is>
          <t>02.05.2022</t>
        </is>
      </c>
      <c r="G284" s="13" t="inlineStr">
        <is>
          <t>2022</t>
        </is>
      </c>
      <c r="H284" s="13" t="inlineStr">
        <is>
          <t>Rulings is being kept confidential in accordance with the ruling issued by the authority</t>
        </is>
      </c>
      <c r="I284" s="13" t="inlineStr">
        <is>
          <t>Procedural</t>
        </is>
      </c>
      <c r="J284" s="13" t="inlineStr">
        <is>
          <t>explicit</t>
        </is>
      </c>
      <c r="K284" s="13" t="inlineStr">
        <is>
          <t>CAAR/Del/Nuttish/06/2022</t>
        </is>
      </c>
      <c r="L284" s="14" t="inlineStr">
        <is>
          <t>https://www.cbic.gov.in/content/pdf/CONTENTREPO/CAAR/Nuttish-15052023.pdf</t>
        </is>
      </c>
      <c r="M284" s="13" t="inlineStr">
        <is>
          <t>YES</t>
        </is>
      </c>
    </row>
    <row r="285">
      <c r="A285" s="13" t="inlineStr">
        <is>
          <t>Delhi Rulings</t>
        </is>
      </c>
      <c r="B285" s="13" t="inlineStr">
        <is>
          <t>29</t>
        </is>
      </c>
      <c r="C285" s="13" t="inlineStr">
        <is>
          <t>281</t>
        </is>
      </c>
      <c r="D285" s="13" t="inlineStr">
        <is>
          <t>M/s Sharp Business System (India) Pvt Ltd</t>
        </is>
      </c>
      <c r="E285" s="13" t="inlineStr">
        <is>
          <t>08.10.2021</t>
        </is>
      </c>
      <c r="F285" s="13" t="inlineStr">
        <is>
          <t>19.04.2022</t>
        </is>
      </c>
      <c r="G285" s="13" t="inlineStr">
        <is>
          <t>2022</t>
        </is>
      </c>
      <c r="H285" s="13" t="inlineStr">
        <is>
          <t>Classification of LCD monitors and applicability of Notification.</t>
        </is>
      </c>
      <c r="I285" s="13" t="inlineStr">
        <is>
          <t>Exemption</t>
        </is>
      </c>
      <c r="J285" s="13" t="inlineStr">
        <is>
          <t>explicit</t>
        </is>
      </c>
      <c r="K285" s="13" t="inlineStr">
        <is>
          <t>CAAR/Del/Sharp/05/2022</t>
        </is>
      </c>
      <c r="L285" s="14" t="inlineStr">
        <is>
          <t>https://www.cbic.gov.in/content/pdf/CONTENTREPO/CAAR/sharp-business-system.pdf</t>
        </is>
      </c>
      <c r="M285" s="13" t="inlineStr">
        <is>
          <t>YES</t>
        </is>
      </c>
    </row>
    <row r="286">
      <c r="A286" s="13" t="inlineStr">
        <is>
          <t>Delhi Rulings</t>
        </is>
      </c>
      <c r="B286" s="13" t="inlineStr">
        <is>
          <t>29</t>
        </is>
      </c>
      <c r="C286" s="13" t="inlineStr">
        <is>
          <t>282</t>
        </is>
      </c>
      <c r="D286" s="13" t="inlineStr">
        <is>
          <t>M/s Harmony Plastics Pvt Ltd</t>
        </is>
      </c>
      <c r="E286" s="13" t="inlineStr">
        <is>
          <t>09.04.2021</t>
        </is>
      </c>
      <c r="F286" s="13" t="inlineStr">
        <is>
          <t>31.01.2022</t>
        </is>
      </c>
      <c r="G286" s="13" t="inlineStr">
        <is>
          <t>2022</t>
        </is>
      </c>
      <c r="H286" s="13" t="inlineStr">
        <is>
          <t>Classification of HDPE woven fabric un-laminated/laminated</t>
        </is>
      </c>
      <c r="I286" s="13" t="inlineStr">
        <is>
          <t>Classification</t>
        </is>
      </c>
      <c r="J286" s="13" t="inlineStr">
        <is>
          <t>explicit</t>
        </is>
      </c>
      <c r="K286" s="13" t="inlineStr">
        <is>
          <t>CAAR/Del/Harmony/04/2022</t>
        </is>
      </c>
      <c r="L286" s="14" t="inlineStr">
        <is>
          <t>https://www.cbic.gov.in/content/pdf/CONTENTREPO/CAAR/Harmony Plastics Pvt Ltd rulings no 4.pdf</t>
        </is>
      </c>
      <c r="M286" s="13" t="inlineStr">
        <is>
          <t>YES</t>
        </is>
      </c>
    </row>
    <row r="287">
      <c r="A287" s="13" t="inlineStr">
        <is>
          <t>Delhi Rulings</t>
        </is>
      </c>
      <c r="B287" s="13" t="inlineStr">
        <is>
          <t>29</t>
        </is>
      </c>
      <c r="C287" s="13" t="inlineStr">
        <is>
          <t>283</t>
        </is>
      </c>
      <c r="D287" s="13" t="inlineStr">
        <is>
          <t>M/s Amazon Wholesale India Pvt Ltd</t>
        </is>
      </c>
      <c r="E287" s="13" t="inlineStr">
        <is>
          <t>10.09.2021</t>
        </is>
      </c>
      <c r="F287" s="13" t="inlineStr">
        <is>
          <t>27.01.2022</t>
        </is>
      </c>
      <c r="G287" s="13" t="inlineStr">
        <is>
          <t>2022</t>
        </is>
      </c>
      <c r="H287" s="13" t="inlineStr">
        <is>
          <t>Classification of Fire TV Stick 4K Max</t>
        </is>
      </c>
      <c r="I287" s="13" t="inlineStr">
        <is>
          <t>Classification</t>
        </is>
      </c>
      <c r="J287" s="13" t="inlineStr">
        <is>
          <t>explicit</t>
        </is>
      </c>
      <c r="K287" s="13" t="inlineStr">
        <is>
          <t>CAAR/Del/Amazon/03/2022</t>
        </is>
      </c>
      <c r="L287" s="14" t="inlineStr">
        <is>
          <t>https://www.cbic.gov.in/content/pdf/CONTENTREPO/CAAR/Ruling No. Amazon 47.pdf</t>
        </is>
      </c>
      <c r="M287" s="13" t="inlineStr">
        <is>
          <t>YES</t>
        </is>
      </c>
    </row>
    <row r="288">
      <c r="A288" s="13" t="inlineStr">
        <is>
          <t>Delhi Rulings</t>
        </is>
      </c>
      <c r="B288" s="13" t="inlineStr">
        <is>
          <t>29</t>
        </is>
      </c>
      <c r="C288" s="13" t="inlineStr">
        <is>
          <t>284</t>
        </is>
      </c>
      <c r="D288" s="13" t="inlineStr">
        <is>
          <t>M/s Evans Consoles Corporation</t>
        </is>
      </c>
      <c r="E288" s="13" t="inlineStr">
        <is>
          <t>21.07.2021</t>
        </is>
      </c>
      <c r="F288" s="13" t="inlineStr">
        <is>
          <t>13.01.2022</t>
        </is>
      </c>
      <c r="G288" s="13" t="inlineStr">
        <is>
          <t>2022</t>
        </is>
      </c>
      <c r="H288" s="13" t="inlineStr">
        <is>
          <t>Classification of consoles</t>
        </is>
      </c>
      <c r="I288" s="13" t="inlineStr">
        <is>
          <t>Classification</t>
        </is>
      </c>
      <c r="J288" s="13" t="inlineStr">
        <is>
          <t>explicit</t>
        </is>
      </c>
      <c r="K288" s="13" t="inlineStr">
        <is>
          <t>CAAR/Del/Evans/02/2022</t>
        </is>
      </c>
      <c r="L288" s="14" t="inlineStr">
        <is>
          <t>https://www.cbic.gov.in/content/pdf/CONTENTREPO/CAAR/Ruling Evans Consoles.pdf</t>
        </is>
      </c>
      <c r="M288" s="13" t="inlineStr">
        <is>
          <t>YES</t>
        </is>
      </c>
    </row>
    <row r="289">
      <c r="A289" s="13" t="inlineStr">
        <is>
          <t>Delhi Rulings</t>
        </is>
      </c>
      <c r="B289" s="13" t="inlineStr">
        <is>
          <t>29</t>
        </is>
      </c>
      <c r="C289" s="13" t="inlineStr">
        <is>
          <t>285</t>
        </is>
      </c>
      <c r="D289" s="13" t="inlineStr">
        <is>
          <t>M/s G.G. Enterprises</t>
        </is>
      </c>
      <c r="E289" s="13" t="inlineStr">
        <is>
          <t>03.07.2021</t>
        </is>
      </c>
      <c r="F289" s="13" t="inlineStr">
        <is>
          <t>10.01.2022</t>
        </is>
      </c>
      <c r="G289" s="13" t="inlineStr">
        <is>
          <t>2022</t>
        </is>
      </c>
      <c r="H289" s="13" t="inlineStr">
        <is>
          <t>Classification of parts of electronic toy cars</t>
        </is>
      </c>
      <c r="I289" s="13" t="inlineStr">
        <is>
          <t>Classification</t>
        </is>
      </c>
      <c r="J289" s="13" t="inlineStr">
        <is>
          <t>explicit</t>
        </is>
      </c>
      <c r="K289" s="13" t="inlineStr">
        <is>
          <t>CAAR/Del/G.G. Enterprises/01/2022</t>
        </is>
      </c>
      <c r="L289" s="14" t="inlineStr">
        <is>
          <t>https://www.cbic.gov.in/content/pdf/CONTENTREPO/CAAR/GG Enterprises-2022.pdf</t>
        </is>
      </c>
      <c r="M289" s="13" t="inlineStr">
        <is>
          <t>YES</t>
        </is>
      </c>
    </row>
    <row r="290">
      <c r="A290" s="13" t="inlineStr">
        <is>
          <t>Delhi Rulings</t>
        </is>
      </c>
      <c r="B290" s="13" t="inlineStr">
        <is>
          <t>29</t>
        </is>
      </c>
      <c r="C290" s="13" t="inlineStr">
        <is>
          <t>286</t>
        </is>
      </c>
      <c r="D290" s="13" t="inlineStr">
        <is>
          <t>M/s UBS Exports International Pvt Ltd</t>
        </is>
      </c>
      <c r="E290" s="13" t="inlineStr">
        <is>
          <t>09.09.2021</t>
        </is>
      </c>
      <c r="F290" s="13" t="inlineStr">
        <is>
          <t>20.12.2021</t>
        </is>
      </c>
      <c r="G290" s="13" t="inlineStr">
        <is>
          <t>2021</t>
        </is>
      </c>
      <c r="H290" s="13" t="inlineStr">
        <is>
          <t>Classification of Betel Nut</t>
        </is>
      </c>
      <c r="I290" s="13" t="inlineStr">
        <is>
          <t>Classification</t>
        </is>
      </c>
      <c r="J290" s="13" t="inlineStr">
        <is>
          <t>explicit</t>
        </is>
      </c>
      <c r="K290" s="13" t="inlineStr">
        <is>
          <t>CAAR/Del/UBS Exports/23/2021</t>
        </is>
      </c>
      <c r="L290" s="14" t="inlineStr">
        <is>
          <t>https://www.cbic.gov.in/content/pdf/CONTENTREPO/CAAR/UBS Exports Ruling.pdf</t>
        </is>
      </c>
      <c r="M290" s="13" t="inlineStr">
        <is>
          <t>YES</t>
        </is>
      </c>
    </row>
    <row r="291">
      <c r="A291" s="13" t="inlineStr">
        <is>
          <t>Delhi Rulings</t>
        </is>
      </c>
      <c r="B291" s="13" t="inlineStr">
        <is>
          <t>29</t>
        </is>
      </c>
      <c r="C291" s="13" t="inlineStr">
        <is>
          <t>287</t>
        </is>
      </c>
      <c r="D291" s="13" t="inlineStr">
        <is>
          <t>M/s P.G. International</t>
        </is>
      </c>
      <c r="E291" s="13" t="inlineStr">
        <is>
          <t>29.07.2021</t>
        </is>
      </c>
      <c r="F291" s="13" t="inlineStr">
        <is>
          <t>26.11.2021</t>
        </is>
      </c>
      <c r="G291" s="13" t="inlineStr">
        <is>
          <t>2021</t>
        </is>
      </c>
      <c r="H291" s="13" t="inlineStr">
        <is>
          <t>Classification of Betel Nut</t>
        </is>
      </c>
      <c r="I291" s="13" t="inlineStr">
        <is>
          <t>Classification</t>
        </is>
      </c>
      <c r="J291" s="13" t="inlineStr">
        <is>
          <t>explicit</t>
        </is>
      </c>
      <c r="K291" s="13" t="inlineStr">
        <is>
          <t>CAAR/Del/PG International/22/2021</t>
        </is>
      </c>
      <c r="L291" s="14" t="inlineStr">
        <is>
          <t>https://www.cbic.gov.in/content/pdf/CONTENTREPO/CAAR/Rulling_No_22.PG_International.pdf</t>
        </is>
      </c>
      <c r="M291" s="13" t="inlineStr">
        <is>
          <t>YES</t>
        </is>
      </c>
    </row>
    <row r="292">
      <c r="A292" s="13" t="inlineStr">
        <is>
          <t>Delhi Rulings</t>
        </is>
      </c>
      <c r="B292" s="13" t="inlineStr">
        <is>
          <t>29</t>
        </is>
      </c>
      <c r="C292" s="13" t="inlineStr">
        <is>
          <t>288</t>
        </is>
      </c>
      <c r="D292" s="13" t="inlineStr">
        <is>
          <t>M/s Vaibhav Enterprises</t>
        </is>
      </c>
      <c r="E292" s="13" t="inlineStr">
        <is>
          <t>29.07.2021</t>
        </is>
      </c>
      <c r="F292" s="13" t="inlineStr">
        <is>
          <t>21.10.2021</t>
        </is>
      </c>
      <c r="G292" s="13" t="inlineStr">
        <is>
          <t>2021</t>
        </is>
      </c>
      <c r="H292" s="13" t="inlineStr">
        <is>
          <t>Classification of Betel Nut</t>
        </is>
      </c>
      <c r="I292" s="13" t="inlineStr">
        <is>
          <t>Classification</t>
        </is>
      </c>
      <c r="J292" s="13" t="inlineStr">
        <is>
          <t>explicit</t>
        </is>
      </c>
      <c r="K292" s="13" t="inlineStr">
        <is>
          <t>CAAR/Del/Vaibhav/21/2021</t>
        </is>
      </c>
      <c r="L292" s="14" t="inlineStr">
        <is>
          <t>https://www.cbic.gov.in/content/pdf/CONTENTREPO/CAAR/VaibhavRulings.pdf</t>
        </is>
      </c>
      <c r="M292" s="13" t="inlineStr">
        <is>
          <t>YES</t>
        </is>
      </c>
    </row>
    <row r="293">
      <c r="A293" s="13" t="inlineStr">
        <is>
          <t>Delhi Rulings</t>
        </is>
      </c>
      <c r="B293" s="13" t="inlineStr">
        <is>
          <t>29</t>
        </is>
      </c>
      <c r="C293" s="13" t="inlineStr">
        <is>
          <t>289</t>
        </is>
      </c>
      <c r="D293" s="13" t="inlineStr">
        <is>
          <t>M/s Spraytec India Ltd</t>
        </is>
      </c>
      <c r="E293" s="13" t="inlineStr">
        <is>
          <t>09-07-2020</t>
        </is>
      </c>
      <c r="F293" s="13" t="inlineStr">
        <is>
          <t>05.10.2021</t>
        </is>
      </c>
      <c r="G293" s="13" t="inlineStr">
        <is>
          <t>2021</t>
        </is>
      </c>
      <c r="H293" s="13" t="inlineStr">
        <is>
          <t>Classification of Aaerosol Valve</t>
        </is>
      </c>
      <c r="I293" s="13" t="inlineStr">
        <is>
          <t>Classification</t>
        </is>
      </c>
      <c r="J293" s="13" t="inlineStr">
        <is>
          <t>explicit</t>
        </is>
      </c>
      <c r="K293" s="13" t="inlineStr">
        <is>
          <t>CAAR/Del/Spraytec/20/2021</t>
        </is>
      </c>
      <c r="L293" s="14" t="inlineStr">
        <is>
          <t>https://www.cbic.gov.in/content/pdf/CONTENTREPO/CAAR/spraytec Rulings.pdf</t>
        </is>
      </c>
      <c r="M293" s="13" t="inlineStr">
        <is>
          <t>YES</t>
        </is>
      </c>
    </row>
    <row r="294">
      <c r="A294" s="13" t="inlineStr">
        <is>
          <t>Delhi Rulings</t>
        </is>
      </c>
      <c r="B294" s="13" t="inlineStr">
        <is>
          <t>29</t>
        </is>
      </c>
      <c r="C294" s="13" t="inlineStr">
        <is>
          <t>290</t>
        </is>
      </c>
      <c r="D294" s="13" t="inlineStr">
        <is>
          <t>M/s Volvo Auto India Pvt. Ltd</t>
        </is>
      </c>
      <c r="E294" s="13" t="inlineStr">
        <is>
          <t>14.05.2021</t>
        </is>
      </c>
      <c r="F294" s="13" t="inlineStr">
        <is>
          <t>10.09.2021</t>
        </is>
      </c>
      <c r="G294" s="13" t="inlineStr">
        <is>
          <t>2021</t>
        </is>
      </c>
      <c r="H294" s="13" t="inlineStr">
        <is>
          <t>Classification of imported CKD kits</t>
        </is>
      </c>
      <c r="I294" s="13" t="inlineStr">
        <is>
          <t>Classification</t>
        </is>
      </c>
      <c r="J294" s="13" t="inlineStr">
        <is>
          <t>explicit</t>
        </is>
      </c>
      <c r="K294" s="13" t="inlineStr">
        <is>
          <t>CAAR/Del/Volvo/19/2021</t>
        </is>
      </c>
      <c r="L294" s="14" t="inlineStr">
        <is>
          <t>https://www.cbic.gov.in/content/pdf/CONTENTREPO/CAAR/valvo orders.pdf</t>
        </is>
      </c>
      <c r="M294" s="13" t="inlineStr">
        <is>
          <t>YES</t>
        </is>
      </c>
    </row>
    <row r="295">
      <c r="A295" s="13" t="inlineStr">
        <is>
          <t>Delhi Rulings</t>
        </is>
      </c>
      <c r="B295" s="13" t="inlineStr">
        <is>
          <t>30</t>
        </is>
      </c>
      <c r="C295" s="13" t="inlineStr">
        <is>
          <t>291</t>
        </is>
      </c>
      <c r="D295" s="13" t="inlineStr">
        <is>
          <t>M/s Amazon Wholsale India Private Limited</t>
        </is>
      </c>
      <c r="E295" s="13" t="inlineStr">
        <is>
          <t>12.03.2021</t>
        </is>
      </c>
      <c r="F295" s="13" t="inlineStr">
        <is>
          <t>10.08.2021</t>
        </is>
      </c>
      <c r="G295" s="13" t="inlineStr">
        <is>
          <t>2021</t>
        </is>
      </c>
      <c r="H295" s="13" t="inlineStr">
        <is>
          <t>Classification of Fire TV Cube and IR Extender Cable.</t>
        </is>
      </c>
      <c r="I295" s="13" t="inlineStr">
        <is>
          <t>Classification</t>
        </is>
      </c>
      <c r="J295" s="13" t="inlineStr">
        <is>
          <t>explicit</t>
        </is>
      </c>
      <c r="K295" s="13" t="inlineStr">
        <is>
          <t>CAAR/Del/Amazon/18/2021</t>
        </is>
      </c>
      <c r="L295" s="14" t="inlineStr">
        <is>
          <t>https://www.cbic.gov.in/content/pdf/CONTENTREPO/CAAR/CPIO-CAA-270821.pdf</t>
        </is>
      </c>
      <c r="M295" s="13" t="inlineStr">
        <is>
          <t>YES</t>
        </is>
      </c>
    </row>
    <row r="296">
      <c r="A296" s="13" t="inlineStr">
        <is>
          <t>Delhi Rulings</t>
        </is>
      </c>
      <c r="B296" s="13" t="inlineStr">
        <is>
          <t>30</t>
        </is>
      </c>
      <c r="C296" s="13" t="inlineStr">
        <is>
          <t>292</t>
        </is>
      </c>
      <c r="D296" s="13" t="inlineStr">
        <is>
          <t>M/s Amazon Wholesale India Private Limited</t>
        </is>
      </c>
      <c r="E296" s="13" t="inlineStr">
        <is>
          <t>12.03.2021</t>
        </is>
      </c>
      <c r="F296" s="13" t="inlineStr">
        <is>
          <t>20.07.2021</t>
        </is>
      </c>
      <c r="G296" s="13" t="inlineStr">
        <is>
          <t>2021</t>
        </is>
      </c>
      <c r="H296" s="13" t="inlineStr">
        <is>
          <t>Classification of Echo Family Devices and applicability of notification.</t>
        </is>
      </c>
      <c r="I296" s="13" t="inlineStr">
        <is>
          <t>Exemption</t>
        </is>
      </c>
      <c r="J296" s="13" t="inlineStr">
        <is>
          <t>explicit</t>
        </is>
      </c>
      <c r="K296" s="13" t="inlineStr">
        <is>
          <t>CAAR/Del/Amazon/17/2021</t>
        </is>
      </c>
      <c r="L296" s="14" t="inlineStr">
        <is>
          <t>https://www.cbic.gov.in/content/pdf/CONTENTREPO/CAAR/Ruling Amazon 17 of 2021 (1).pdf</t>
        </is>
      </c>
      <c r="M296" s="13" t="inlineStr">
        <is>
          <t>YES</t>
        </is>
      </c>
    </row>
    <row r="297">
      <c r="A297" s="13" t="inlineStr">
        <is>
          <t>Delhi Rulings</t>
        </is>
      </c>
      <c r="B297" s="13" t="inlineStr">
        <is>
          <t>30</t>
        </is>
      </c>
      <c r="C297" s="13" t="inlineStr">
        <is>
          <t>293</t>
        </is>
      </c>
      <c r="D297" s="13" t="inlineStr">
        <is>
          <t>M/s Exor Overseas</t>
        </is>
      </c>
      <c r="E297" s="13" t="inlineStr">
        <is>
          <t>19.04.2021</t>
        </is>
      </c>
      <c r="F297" s="13" t="inlineStr">
        <is>
          <t>16.07.2021</t>
        </is>
      </c>
      <c r="G297" s="13" t="inlineStr">
        <is>
          <t>2021</t>
        </is>
      </c>
      <c r="H297" s="13" t="inlineStr">
        <is>
          <t>Classification of Betel Nut</t>
        </is>
      </c>
      <c r="I297" s="13" t="inlineStr">
        <is>
          <t>Classification</t>
        </is>
      </c>
      <c r="J297" s="13" t="inlineStr">
        <is>
          <t>explicit</t>
        </is>
      </c>
      <c r="K297" s="13" t="inlineStr">
        <is>
          <t>CAAR/Del/Exor/16/2021</t>
        </is>
      </c>
      <c r="L297" s="14" t="inlineStr">
        <is>
          <t>https://www.cbic.gov.in/content/pdf/CONTENTREPO/CAAR/EXOR Ruling.pdf</t>
        </is>
      </c>
      <c r="M297" s="13" t="inlineStr">
        <is>
          <t>YES</t>
        </is>
      </c>
    </row>
    <row r="298">
      <c r="A298" s="13" t="inlineStr">
        <is>
          <t>Delhi Rulings</t>
        </is>
      </c>
      <c r="B298" s="13" t="inlineStr">
        <is>
          <t>30</t>
        </is>
      </c>
      <c r="C298" s="13" t="inlineStr">
        <is>
          <t>294</t>
        </is>
      </c>
      <c r="D298" s="13" t="inlineStr">
        <is>
          <t>M/s Amazon Wholesale India Pvt. Ltd.</t>
        </is>
      </c>
      <c r="E298" s="13" t="inlineStr">
        <is>
          <t>12.03.2021</t>
        </is>
      </c>
      <c r="F298" s="13" t="inlineStr">
        <is>
          <t>05.07.2021</t>
        </is>
      </c>
      <c r="G298" s="13" t="inlineStr">
        <is>
          <t>2021</t>
        </is>
      </c>
      <c r="H298" s="13" t="inlineStr">
        <is>
          <t>Classification of Fire TV Stick (Lite 1st Gen/3rd Gen) and Alexa Voice Remote (1st Gen/2nd Gen).</t>
        </is>
      </c>
      <c r="I298" s="13" t="inlineStr">
        <is>
          <t>Classification</t>
        </is>
      </c>
      <c r="J298" s="13" t="inlineStr">
        <is>
          <t>explicit</t>
        </is>
      </c>
      <c r="K298" s="13" t="inlineStr">
        <is>
          <t>CAAR/Del/Amazon/15/2021</t>
        </is>
      </c>
      <c r="L298" s="14" t="inlineStr">
        <is>
          <t>https://www.cbic.gov.in/content/pdf/CONTENTREPO/CAAR/R15.pdf</t>
        </is>
      </c>
      <c r="M298" s="13" t="inlineStr">
        <is>
          <t>YES</t>
        </is>
      </c>
    </row>
    <row r="299">
      <c r="A299" s="13" t="inlineStr">
        <is>
          <t>Delhi Rulings</t>
        </is>
      </c>
      <c r="B299" s="13" t="inlineStr">
        <is>
          <t>30</t>
        </is>
      </c>
      <c r="C299" s="13" t="inlineStr">
        <is>
          <t>295</t>
        </is>
      </c>
      <c r="D299" s="13" t="inlineStr">
        <is>
          <t>M/s Amazon Wholesale India Pvt. Ltd.</t>
        </is>
      </c>
      <c r="E299" s="13" t="inlineStr">
        <is>
          <t>12.03.2021</t>
        </is>
      </c>
      <c r="F299" s="13" t="inlineStr">
        <is>
          <t>28.06.2021</t>
        </is>
      </c>
      <c r="G299" s="13" t="inlineStr">
        <is>
          <t>2021</t>
        </is>
      </c>
      <c r="H299" s="13" t="inlineStr">
        <is>
          <t>Classification of Alexa voice remote (3rd Gen) &amp; applicability of Notification</t>
        </is>
      </c>
      <c r="I299" s="13" t="inlineStr">
        <is>
          <t>Exemption</t>
        </is>
      </c>
      <c r="J299" s="13" t="inlineStr">
        <is>
          <t>explicit</t>
        </is>
      </c>
      <c r="K299" s="13" t="inlineStr">
        <is>
          <t>CAAR/Del/Amazon/14/2021</t>
        </is>
      </c>
      <c r="L299" s="14" t="inlineStr">
        <is>
          <t>https://www.cbic.gov.in/content/pdf/CONTENTREPO/CAAR/R14.pdf</t>
        </is>
      </c>
      <c r="M299" s="13" t="inlineStr">
        <is>
          <t>YES</t>
        </is>
      </c>
    </row>
    <row r="300">
      <c r="A300" s="13" t="inlineStr">
        <is>
          <t>Delhi Rulings</t>
        </is>
      </c>
      <c r="B300" s="13" t="inlineStr">
        <is>
          <t>30</t>
        </is>
      </c>
      <c r="C300" s="13" t="inlineStr">
        <is>
          <t>296</t>
        </is>
      </c>
      <c r="D300" s="13" t="inlineStr">
        <is>
          <t>M/s Amazon Wholesale India Pvt. Ltd.</t>
        </is>
      </c>
      <c r="E300" s="13" t="inlineStr">
        <is>
          <t>12.03.2021</t>
        </is>
      </c>
      <c r="F300" s="13" t="inlineStr">
        <is>
          <t>24.06.2021</t>
        </is>
      </c>
      <c r="G300" s="13" t="inlineStr">
        <is>
          <t>2021</t>
        </is>
      </c>
      <c r="H300" s="13" t="inlineStr">
        <is>
          <t>Classification of Smart Plug &amp; applicability of Notification and classification of Wireless Speaker</t>
        </is>
      </c>
      <c r="I300" s="13" t="inlineStr">
        <is>
          <t>Exemption</t>
        </is>
      </c>
      <c r="J300" s="13" t="inlineStr">
        <is>
          <t>explicit</t>
        </is>
      </c>
      <c r="K300" s="13" t="inlineStr">
        <is>
          <t>CAAR/Del/Amazon/13/2021</t>
        </is>
      </c>
      <c r="L300" s="14" t="inlineStr">
        <is>
          <t>https://www.cbic.gov.in/content/pdf/CONTENTREPO/CAAR/R13.pdf</t>
        </is>
      </c>
      <c r="M300" s="13" t="inlineStr">
        <is>
          <t>YES</t>
        </is>
      </c>
    </row>
    <row r="301">
      <c r="A301" s="13" t="inlineStr">
        <is>
          <t>Delhi Rulings</t>
        </is>
      </c>
      <c r="B301" s="13" t="inlineStr">
        <is>
          <t>30</t>
        </is>
      </c>
      <c r="C301" s="13" t="inlineStr">
        <is>
          <t>297</t>
        </is>
      </c>
      <c r="D301" s="13" t="inlineStr">
        <is>
          <t>M/s Shri Tirupati Balaji Overseas</t>
        </is>
      </c>
      <c r="E301" s="13" t="inlineStr">
        <is>
          <t>15.03.2021</t>
        </is>
      </c>
      <c r="F301" s="13" t="inlineStr">
        <is>
          <t>14.06.2021</t>
        </is>
      </c>
      <c r="G301" s="13" t="inlineStr">
        <is>
          <t>2021</t>
        </is>
      </c>
      <c r="H301" s="13" t="inlineStr">
        <is>
          <t>Classification of Betel Nut</t>
        </is>
      </c>
      <c r="I301" s="13" t="inlineStr">
        <is>
          <t>Classification</t>
        </is>
      </c>
      <c r="J301" s="13" t="inlineStr">
        <is>
          <t>explicit</t>
        </is>
      </c>
      <c r="K301" s="13" t="inlineStr">
        <is>
          <t>CAAR/Del/Tirupati/12/2021</t>
        </is>
      </c>
      <c r="L301" s="14" t="inlineStr">
        <is>
          <t>https://www.cbic.gov.in/content/pdf/CONTENTREPO/CAAR/R12.pdf</t>
        </is>
      </c>
      <c r="M301" s="13" t="inlineStr">
        <is>
          <t>YES</t>
        </is>
      </c>
    </row>
    <row r="302">
      <c r="A302" s="13" t="inlineStr">
        <is>
          <t>Delhi Rulings</t>
        </is>
      </c>
      <c r="B302" s="13" t="inlineStr">
        <is>
          <t>30</t>
        </is>
      </c>
      <c r="C302" s="13" t="inlineStr">
        <is>
          <t>298</t>
        </is>
      </c>
      <c r="D302" s="13" t="inlineStr">
        <is>
          <t>M/s Sarveshwari Industries</t>
        </is>
      </c>
      <c r="E302" s="13" t="inlineStr">
        <is>
          <t>10.03.2021</t>
        </is>
      </c>
      <c r="F302" s="13" t="inlineStr">
        <is>
          <t>04.06.2021</t>
        </is>
      </c>
      <c r="G302" s="13" t="inlineStr">
        <is>
          <t>2021</t>
        </is>
      </c>
      <c r="H302" s="13" t="inlineStr">
        <is>
          <t>Classification of Betel Nut</t>
        </is>
      </c>
      <c r="I302" s="13" t="inlineStr">
        <is>
          <t>Classification</t>
        </is>
      </c>
      <c r="J302" s="13" t="inlineStr">
        <is>
          <t>explicit</t>
        </is>
      </c>
      <c r="K302" s="13" t="inlineStr">
        <is>
          <t>CAAR/Del/Sarveshwari/11/2021</t>
        </is>
      </c>
      <c r="L302" s="14" t="inlineStr">
        <is>
          <t>https://www.cbic.gov.in/content/pdf/CONTENTREPO/CAAR/R11.pdf</t>
        </is>
      </c>
      <c r="M302" s="13" t="inlineStr">
        <is>
          <t>YES</t>
        </is>
      </c>
    </row>
    <row r="303">
      <c r="A303" s="13" t="inlineStr">
        <is>
          <t>Delhi Rulings</t>
        </is>
      </c>
      <c r="B303" s="13" t="inlineStr">
        <is>
          <t>30</t>
        </is>
      </c>
      <c r="C303" s="13" t="inlineStr">
        <is>
          <t>299</t>
        </is>
      </c>
      <c r="D303" s="13" t="inlineStr">
        <is>
          <t>M/s The NUT Co.</t>
        </is>
      </c>
      <c r="E303" s="13" t="inlineStr">
        <is>
          <t>05.03.2021</t>
        </is>
      </c>
      <c r="F303" s="13" t="inlineStr">
        <is>
          <t>04.06.2021</t>
        </is>
      </c>
      <c r="G303" s="13" t="inlineStr">
        <is>
          <t>2021</t>
        </is>
      </c>
      <c r="H303" s="13" t="inlineStr">
        <is>
          <t>Classification of Betel Nut</t>
        </is>
      </c>
      <c r="I303" s="13" t="inlineStr">
        <is>
          <t>Classification</t>
        </is>
      </c>
      <c r="J303" s="13" t="inlineStr">
        <is>
          <t>explicit</t>
        </is>
      </c>
      <c r="K303" s="13" t="inlineStr">
        <is>
          <t>CAAR/Del/The Nut/10/2021</t>
        </is>
      </c>
      <c r="L303" s="14" t="inlineStr">
        <is>
          <t>https://www.cbic.gov.in/content/pdf/CONTENTREPO/CAAR/R10.pdf</t>
        </is>
      </c>
      <c r="M303" s="13" t="inlineStr">
        <is>
          <t>YES</t>
        </is>
      </c>
    </row>
    <row r="304">
      <c r="A304" s="13" t="inlineStr">
        <is>
          <t>Delhi Rulings</t>
        </is>
      </c>
      <c r="B304" s="13" t="inlineStr">
        <is>
          <t>30</t>
        </is>
      </c>
      <c r="C304" s="13" t="inlineStr">
        <is>
          <t>300</t>
        </is>
      </c>
      <c r="D304" s="13" t="inlineStr">
        <is>
          <t>M/s Naman Agri Impex Pvt. Ltd.</t>
        </is>
      </c>
      <c r="E304" s="13" t="inlineStr">
        <is>
          <t>01.03.2021</t>
        </is>
      </c>
      <c r="F304" s="13" t="inlineStr">
        <is>
          <t>31.05.2021</t>
        </is>
      </c>
      <c r="G304" s="13" t="inlineStr">
        <is>
          <t>2021</t>
        </is>
      </c>
      <c r="H304" s="13" t="inlineStr">
        <is>
          <t>Classification of Betel Nut</t>
        </is>
      </c>
      <c r="I304" s="13" t="inlineStr">
        <is>
          <t>Classification</t>
        </is>
      </c>
      <c r="J304" s="13" t="inlineStr">
        <is>
          <t>explicit</t>
        </is>
      </c>
      <c r="K304" s="13" t="inlineStr">
        <is>
          <t>CAAR/Del/Naman Agri/09/2021</t>
        </is>
      </c>
      <c r="L304" s="14" t="inlineStr">
        <is>
          <t>https://www.cbic.gov.in/content/pdf/CONTENTREPO/CAAR/Naman_Agri_Ruling_No_09.pdf</t>
        </is>
      </c>
      <c r="M304" s="13" t="inlineStr">
        <is>
          <t>YES</t>
        </is>
      </c>
    </row>
    <row r="305">
      <c r="A305" s="13" t="inlineStr">
        <is>
          <t>Delhi Rulings</t>
        </is>
      </c>
      <c r="B305" s="13" t="inlineStr">
        <is>
          <t>31</t>
        </is>
      </c>
      <c r="C305" s="13" t="inlineStr">
        <is>
          <t>301</t>
        </is>
      </c>
      <c r="D305" s="13" t="inlineStr">
        <is>
          <t>M/s Inspiration Idea Innovation &amp; Productions Pvt. Ltd.</t>
        </is>
      </c>
      <c r="E305" s="13" t="inlineStr">
        <is>
          <t>01.03.2021</t>
        </is>
      </c>
      <c r="F305" s="13" t="inlineStr">
        <is>
          <t>31.05.2021</t>
        </is>
      </c>
      <c r="G305" s="13" t="inlineStr">
        <is>
          <t>2021</t>
        </is>
      </c>
      <c r="H305" s="13" t="inlineStr">
        <is>
          <t>Classification of Preparation of essential oil</t>
        </is>
      </c>
      <c r="I305" s="13" t="inlineStr">
        <is>
          <t>Classification</t>
        </is>
      </c>
      <c r="J305" s="13" t="inlineStr">
        <is>
          <t>explicit</t>
        </is>
      </c>
      <c r="K305" s="13" t="inlineStr">
        <is>
          <t>CAAR/Del/Inspiration/08/2021</t>
        </is>
      </c>
      <c r="L305" s="14" t="inlineStr">
        <is>
          <t>https://www.cbic.gov.in/content/pdf/CONTENTREPO/CAAR/Inspiration_Idea_Ruling_No_08.pdf</t>
        </is>
      </c>
      <c r="M305" s="13" t="inlineStr">
        <is>
          <t>YES</t>
        </is>
      </c>
    </row>
    <row r="306">
      <c r="A306" s="13" t="inlineStr">
        <is>
          <t>Delhi Rulings</t>
        </is>
      </c>
      <c r="B306" s="13" t="inlineStr">
        <is>
          <t>31</t>
        </is>
      </c>
      <c r="C306" s="13" t="inlineStr">
        <is>
          <t>302</t>
        </is>
      </c>
      <c r="D306" s="13" t="inlineStr">
        <is>
          <t>M/s Morchhadi Traders</t>
        </is>
      </c>
      <c r="E306" s="13" t="inlineStr">
        <is>
          <t>01.03.2021</t>
        </is>
      </c>
      <c r="F306" s="13" t="inlineStr">
        <is>
          <t>31.05.2021</t>
        </is>
      </c>
      <c r="G306" s="13" t="inlineStr">
        <is>
          <t>2021</t>
        </is>
      </c>
      <c r="H306" s="13" t="inlineStr">
        <is>
          <t>Classification of Betel Nut</t>
        </is>
      </c>
      <c r="I306" s="13" t="inlineStr">
        <is>
          <t>Classification</t>
        </is>
      </c>
      <c r="J306" s="13" t="inlineStr">
        <is>
          <t>explicit</t>
        </is>
      </c>
      <c r="K306" s="13" t="inlineStr">
        <is>
          <t>CAAR/Del/Morchhadi/07/2021</t>
        </is>
      </c>
      <c r="L306" s="14" t="inlineStr">
        <is>
          <t>https://www.cbic.gov.in/content/pdf/CONTENTREPO/CAAR/Morchandi_Traders_Ruling_No_07.pdf</t>
        </is>
      </c>
      <c r="M306" s="13" t="inlineStr">
        <is>
          <t>YES</t>
        </is>
      </c>
    </row>
    <row r="307">
      <c r="A307" s="13" t="inlineStr">
        <is>
          <t>Delhi Rulings</t>
        </is>
      </c>
      <c r="B307" s="13" t="inlineStr">
        <is>
          <t>31</t>
        </is>
      </c>
      <c r="C307" s="13" t="inlineStr">
        <is>
          <t>303</t>
        </is>
      </c>
      <c r="D307" s="13" t="inlineStr">
        <is>
          <t>M/s Cosmos International</t>
        </is>
      </c>
      <c r="E307" s="13" t="inlineStr">
        <is>
          <t>01.03.2021</t>
        </is>
      </c>
      <c r="F307" s="13" t="inlineStr">
        <is>
          <t>31.05.2021</t>
        </is>
      </c>
      <c r="G307" s="13" t="inlineStr">
        <is>
          <t>2021</t>
        </is>
      </c>
      <c r="H307" s="13" t="inlineStr">
        <is>
          <t>Classification of Betel Nut</t>
        </is>
      </c>
      <c r="I307" s="13" t="inlineStr">
        <is>
          <t>Classification</t>
        </is>
      </c>
      <c r="J307" s="13" t="inlineStr">
        <is>
          <t>explicit</t>
        </is>
      </c>
      <c r="K307" s="13" t="inlineStr">
        <is>
          <t>CAAR/Del/Cosmos Int/06/2021</t>
        </is>
      </c>
      <c r="L307" s="14" t="inlineStr">
        <is>
          <t>https://www.cbic.gov.in/content/pdf/CONTENTREPO/CAAR/Cosmos_Int_Ruling_No_06.pdf</t>
        </is>
      </c>
      <c r="M307" s="13" t="inlineStr">
        <is>
          <t>YES</t>
        </is>
      </c>
    </row>
    <row r="308">
      <c r="A308" s="13" t="inlineStr">
        <is>
          <t>Delhi Rulings</t>
        </is>
      </c>
      <c r="B308" s="13" t="inlineStr">
        <is>
          <t>31</t>
        </is>
      </c>
      <c r="C308" s="13" t="inlineStr">
        <is>
          <t>304</t>
        </is>
      </c>
      <c r="D308" s="13" t="inlineStr">
        <is>
          <t>M/s Great Nut Impex Pvt. Ltd.</t>
        </is>
      </c>
      <c r="E308" s="13" t="inlineStr">
        <is>
          <t>23.02.2021</t>
        </is>
      </c>
      <c r="F308" s="13" t="inlineStr">
        <is>
          <t>20.05.2021</t>
        </is>
      </c>
      <c r="G308" s="13" t="inlineStr">
        <is>
          <t>2021</t>
        </is>
      </c>
      <c r="H308" s="13" t="inlineStr">
        <is>
          <t>Classification of Betel Nut</t>
        </is>
      </c>
      <c r="I308" s="13" t="inlineStr">
        <is>
          <t>Classification</t>
        </is>
      </c>
      <c r="J308" s="13" t="inlineStr">
        <is>
          <t>explicit</t>
        </is>
      </c>
      <c r="K308" s="13" t="inlineStr">
        <is>
          <t>CAAR/Del/Great Nuts/05/2021</t>
        </is>
      </c>
      <c r="L308" s="14" t="inlineStr">
        <is>
          <t>https://www.cbic.gov.in/content/pdf/CONTENTREPO/CAAR/Great_Nut_Ruling_No_05.pdf</t>
        </is>
      </c>
      <c r="M308" s="13" t="inlineStr">
        <is>
          <t>YES</t>
        </is>
      </c>
    </row>
    <row r="309">
      <c r="A309" s="13" t="inlineStr">
        <is>
          <t>Delhi Rulings</t>
        </is>
      </c>
      <c r="B309" s="13" t="inlineStr">
        <is>
          <t>31</t>
        </is>
      </c>
      <c r="C309" s="13" t="inlineStr">
        <is>
          <t>305</t>
        </is>
      </c>
      <c r="D309" s="13" t="inlineStr">
        <is>
          <t>M/s Perfect Trading Co.</t>
        </is>
      </c>
      <c r="E309" s="13" t="inlineStr">
        <is>
          <t>25.02.2021</t>
        </is>
      </c>
      <c r="F309" s="13" t="inlineStr">
        <is>
          <t>20.05.2021</t>
        </is>
      </c>
      <c r="G309" s="13" t="inlineStr">
        <is>
          <t>2021</t>
        </is>
      </c>
      <c r="H309" s="13" t="inlineStr">
        <is>
          <t>Classification of Betel Nut</t>
        </is>
      </c>
      <c r="I309" s="13" t="inlineStr">
        <is>
          <t>Classification</t>
        </is>
      </c>
      <c r="J309" s="13" t="inlineStr">
        <is>
          <t>explicit</t>
        </is>
      </c>
      <c r="K309" s="13" t="inlineStr">
        <is>
          <t>CAAR/Del/Perfect/04/2021</t>
        </is>
      </c>
      <c r="L309" s="14" t="inlineStr">
        <is>
          <t>https://www.cbic.gov.in/content/pdf/CONTENTREPO/CAAR/Perfect_Trading_Ruling_No_04.pdf</t>
        </is>
      </c>
      <c r="M309" s="13" t="inlineStr">
        <is>
          <t>YES</t>
        </is>
      </c>
    </row>
    <row r="310">
      <c r="A310" s="13" t="inlineStr">
        <is>
          <t>Delhi Rulings</t>
        </is>
      </c>
      <c r="B310" s="13" t="inlineStr">
        <is>
          <t>31</t>
        </is>
      </c>
      <c r="C310" s="13" t="inlineStr">
        <is>
          <t>306</t>
        </is>
      </c>
      <c r="D310" s="13" t="inlineStr">
        <is>
          <t>M/s Star Spices</t>
        </is>
      </c>
      <c r="E310" s="13" t="inlineStr">
        <is>
          <t>23.02.2021</t>
        </is>
      </c>
      <c r="F310" s="13" t="inlineStr">
        <is>
          <t>16.04.2021</t>
        </is>
      </c>
      <c r="G310" s="13" t="inlineStr">
        <is>
          <t>2021</t>
        </is>
      </c>
      <c r="H310" s="13" t="inlineStr">
        <is>
          <t>Classification of Betel Nut</t>
        </is>
      </c>
      <c r="I310" s="13" t="inlineStr">
        <is>
          <t>Classification</t>
        </is>
      </c>
      <c r="J310" s="13" t="inlineStr">
        <is>
          <t>explicit</t>
        </is>
      </c>
      <c r="K310" s="13" t="inlineStr">
        <is>
          <t>CAAR/Del/Star Spices/03/2021</t>
        </is>
      </c>
      <c r="L310" s="14" t="inlineStr">
        <is>
          <t>https://www.cbic.gov.in/content/pdf/CONTENTREPO/CAAR/STAR_SPICES_Ruling_No_03.pdf</t>
        </is>
      </c>
      <c r="M310" s="13" t="inlineStr">
        <is>
          <t>YES</t>
        </is>
      </c>
    </row>
    <row r="311">
      <c r="A311" s="13" t="inlineStr">
        <is>
          <t>Delhi Rulings</t>
        </is>
      </c>
      <c r="B311" s="13" t="inlineStr">
        <is>
          <t>31</t>
        </is>
      </c>
      <c r="C311" s="13" t="inlineStr">
        <is>
          <t>307</t>
        </is>
      </c>
      <c r="D311" s="13" t="inlineStr">
        <is>
          <t>M/s Globe Impex</t>
        </is>
      </c>
      <c r="E311" s="13" t="inlineStr">
        <is>
          <t>04.02.2021</t>
        </is>
      </c>
      <c r="F311" s="13" t="inlineStr">
        <is>
          <t>23.03.2021</t>
        </is>
      </c>
      <c r="G311" s="13" t="inlineStr">
        <is>
          <t>2021</t>
        </is>
      </c>
      <c r="H311" s="13" t="inlineStr">
        <is>
          <t>Classification of Betel Nut</t>
        </is>
      </c>
      <c r="I311" s="13" t="inlineStr">
        <is>
          <t>Classification</t>
        </is>
      </c>
      <c r="J311" s="13" t="inlineStr">
        <is>
          <t>explicit</t>
        </is>
      </c>
      <c r="K311" s="13" t="inlineStr">
        <is>
          <t>CAAR/Del/Globe Impex/02/2021</t>
        </is>
      </c>
      <c r="L311" s="14" t="inlineStr">
        <is>
          <t>https://www.cbic.gov.in/content/pdf/CONTENTREPO/CAAR/Globe_Impex_Ruling_No_02.pdf</t>
        </is>
      </c>
      <c r="M311" s="13" t="inlineStr">
        <is>
          <t>YES</t>
        </is>
      </c>
    </row>
    <row r="312">
      <c r="A312" s="13" t="inlineStr">
        <is>
          <t>Delhi Rulings</t>
        </is>
      </c>
      <c r="B312" s="13" t="inlineStr">
        <is>
          <t>31</t>
        </is>
      </c>
      <c r="C312" s="13" t="inlineStr">
        <is>
          <t>308</t>
        </is>
      </c>
      <c r="D312" s="13" t="inlineStr">
        <is>
          <t>M/s Dry Nut Enterprises</t>
        </is>
      </c>
      <c r="E312" s="13" t="inlineStr">
        <is>
          <t>16.12.2020</t>
        </is>
      </c>
      <c r="F312" s="13" t="inlineStr">
        <is>
          <t>16.03.2021</t>
        </is>
      </c>
      <c r="G312" s="13" t="inlineStr">
        <is>
          <t>2021</t>
        </is>
      </c>
      <c r="H312" s="13" t="inlineStr">
        <is>
          <t>Classification of Betel Nut</t>
        </is>
      </c>
      <c r="I312" s="13" t="inlineStr">
        <is>
          <t>Classification</t>
        </is>
      </c>
      <c r="J312" s="13" t="inlineStr">
        <is>
          <t>explicit</t>
        </is>
      </c>
      <c r="K312" s="13" t="inlineStr">
        <is>
          <t>CAAR/Del/Dry Nut/01/2021</t>
        </is>
      </c>
      <c r="L312" s="14" t="inlineStr">
        <is>
          <t>https://www.cbic.gov.in/content/pdf/CONTENTREPO/CAAR/Dry_Nut_Ruling_No_01.pdf</t>
        </is>
      </c>
      <c r="M312" s="13" t="inlineStr">
        <is>
          <t>YES</t>
        </is>
      </c>
    </row>
  </sheetData>
  <mergeCells count="2">
    <mergeCell ref="A2:M2"/>
    <mergeCell ref="A1:M1"/>
  </mergeCells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10" r:id="rId3"/>
    <hyperlink xmlns:r="http://schemas.openxmlformats.org/officeDocument/2006/relationships" ref="L13" r:id="rId4"/>
    <hyperlink xmlns:r="http://schemas.openxmlformats.org/officeDocument/2006/relationships" ref="L14" r:id="rId5"/>
    <hyperlink xmlns:r="http://schemas.openxmlformats.org/officeDocument/2006/relationships" ref="L15" r:id="rId6"/>
    <hyperlink xmlns:r="http://schemas.openxmlformats.org/officeDocument/2006/relationships" ref="L16" r:id="rId7"/>
    <hyperlink xmlns:r="http://schemas.openxmlformats.org/officeDocument/2006/relationships" ref="L18" r:id="rId8"/>
    <hyperlink xmlns:r="http://schemas.openxmlformats.org/officeDocument/2006/relationships" ref="L21" r:id="rId9"/>
    <hyperlink xmlns:r="http://schemas.openxmlformats.org/officeDocument/2006/relationships" ref="L22" r:id="rId10"/>
    <hyperlink xmlns:r="http://schemas.openxmlformats.org/officeDocument/2006/relationships" ref="L23" r:id="rId11"/>
    <hyperlink xmlns:r="http://schemas.openxmlformats.org/officeDocument/2006/relationships" ref="L24" r:id="rId12"/>
    <hyperlink xmlns:r="http://schemas.openxmlformats.org/officeDocument/2006/relationships" ref="L25" r:id="rId13"/>
    <hyperlink xmlns:r="http://schemas.openxmlformats.org/officeDocument/2006/relationships" ref="L26" r:id="rId14"/>
    <hyperlink xmlns:r="http://schemas.openxmlformats.org/officeDocument/2006/relationships" ref="L27" r:id="rId15"/>
    <hyperlink xmlns:r="http://schemas.openxmlformats.org/officeDocument/2006/relationships" ref="L28" r:id="rId16"/>
    <hyperlink xmlns:r="http://schemas.openxmlformats.org/officeDocument/2006/relationships" ref="L29" r:id="rId17"/>
    <hyperlink xmlns:r="http://schemas.openxmlformats.org/officeDocument/2006/relationships" ref="L30" r:id="rId18"/>
    <hyperlink xmlns:r="http://schemas.openxmlformats.org/officeDocument/2006/relationships" ref="L32" r:id="rId19"/>
    <hyperlink xmlns:r="http://schemas.openxmlformats.org/officeDocument/2006/relationships" ref="L33" r:id="rId20"/>
    <hyperlink xmlns:r="http://schemas.openxmlformats.org/officeDocument/2006/relationships" ref="L34" r:id="rId21"/>
    <hyperlink xmlns:r="http://schemas.openxmlformats.org/officeDocument/2006/relationships" ref="L35" r:id="rId22"/>
    <hyperlink xmlns:r="http://schemas.openxmlformats.org/officeDocument/2006/relationships" ref="L36" r:id="rId23"/>
    <hyperlink xmlns:r="http://schemas.openxmlformats.org/officeDocument/2006/relationships" ref="L37" r:id="rId24"/>
    <hyperlink xmlns:r="http://schemas.openxmlformats.org/officeDocument/2006/relationships" ref="L38" r:id="rId25"/>
    <hyperlink xmlns:r="http://schemas.openxmlformats.org/officeDocument/2006/relationships" ref="L39" r:id="rId26"/>
    <hyperlink xmlns:r="http://schemas.openxmlformats.org/officeDocument/2006/relationships" ref="L40" r:id="rId27"/>
    <hyperlink xmlns:r="http://schemas.openxmlformats.org/officeDocument/2006/relationships" ref="L41" r:id="rId28"/>
    <hyperlink xmlns:r="http://schemas.openxmlformats.org/officeDocument/2006/relationships" ref="L42" r:id="rId29"/>
    <hyperlink xmlns:r="http://schemas.openxmlformats.org/officeDocument/2006/relationships" ref="L43" r:id="rId30"/>
    <hyperlink xmlns:r="http://schemas.openxmlformats.org/officeDocument/2006/relationships" ref="L44" r:id="rId31"/>
    <hyperlink xmlns:r="http://schemas.openxmlformats.org/officeDocument/2006/relationships" ref="L45" r:id="rId32"/>
    <hyperlink xmlns:r="http://schemas.openxmlformats.org/officeDocument/2006/relationships" ref="L46" r:id="rId33"/>
    <hyperlink xmlns:r="http://schemas.openxmlformats.org/officeDocument/2006/relationships" ref="L47" r:id="rId34"/>
    <hyperlink xmlns:r="http://schemas.openxmlformats.org/officeDocument/2006/relationships" ref="L48" r:id="rId35"/>
    <hyperlink xmlns:r="http://schemas.openxmlformats.org/officeDocument/2006/relationships" ref="L49" r:id="rId36"/>
    <hyperlink xmlns:r="http://schemas.openxmlformats.org/officeDocument/2006/relationships" ref="L50" r:id="rId37"/>
    <hyperlink xmlns:r="http://schemas.openxmlformats.org/officeDocument/2006/relationships" ref="L51" r:id="rId38"/>
    <hyperlink xmlns:r="http://schemas.openxmlformats.org/officeDocument/2006/relationships" ref="L52" r:id="rId39"/>
    <hyperlink xmlns:r="http://schemas.openxmlformats.org/officeDocument/2006/relationships" ref="L53" r:id="rId40"/>
    <hyperlink xmlns:r="http://schemas.openxmlformats.org/officeDocument/2006/relationships" ref="L54" r:id="rId41"/>
    <hyperlink xmlns:r="http://schemas.openxmlformats.org/officeDocument/2006/relationships" ref="L55" r:id="rId42"/>
    <hyperlink xmlns:r="http://schemas.openxmlformats.org/officeDocument/2006/relationships" ref="L56" r:id="rId43"/>
    <hyperlink xmlns:r="http://schemas.openxmlformats.org/officeDocument/2006/relationships" ref="L57" r:id="rId44"/>
    <hyperlink xmlns:r="http://schemas.openxmlformats.org/officeDocument/2006/relationships" ref="L58" r:id="rId45"/>
    <hyperlink xmlns:r="http://schemas.openxmlformats.org/officeDocument/2006/relationships" ref="L59" r:id="rId46"/>
    <hyperlink xmlns:r="http://schemas.openxmlformats.org/officeDocument/2006/relationships" ref="L60" r:id="rId47"/>
    <hyperlink xmlns:r="http://schemas.openxmlformats.org/officeDocument/2006/relationships" ref="L61" r:id="rId48"/>
    <hyperlink xmlns:r="http://schemas.openxmlformats.org/officeDocument/2006/relationships" ref="L62" r:id="rId49"/>
    <hyperlink xmlns:r="http://schemas.openxmlformats.org/officeDocument/2006/relationships" ref="L63" r:id="rId50"/>
    <hyperlink xmlns:r="http://schemas.openxmlformats.org/officeDocument/2006/relationships" ref="L64" r:id="rId51"/>
    <hyperlink xmlns:r="http://schemas.openxmlformats.org/officeDocument/2006/relationships" ref="L65" r:id="rId52"/>
    <hyperlink xmlns:r="http://schemas.openxmlformats.org/officeDocument/2006/relationships" ref="L66" r:id="rId53"/>
    <hyperlink xmlns:r="http://schemas.openxmlformats.org/officeDocument/2006/relationships" ref="L67" r:id="rId54"/>
    <hyperlink xmlns:r="http://schemas.openxmlformats.org/officeDocument/2006/relationships" ref="L68" r:id="rId55"/>
    <hyperlink xmlns:r="http://schemas.openxmlformats.org/officeDocument/2006/relationships" ref="L69" r:id="rId56"/>
    <hyperlink xmlns:r="http://schemas.openxmlformats.org/officeDocument/2006/relationships" ref="L72" r:id="rId57"/>
    <hyperlink xmlns:r="http://schemas.openxmlformats.org/officeDocument/2006/relationships" ref="L73" r:id="rId58"/>
    <hyperlink xmlns:r="http://schemas.openxmlformats.org/officeDocument/2006/relationships" ref="L74" r:id="rId59"/>
    <hyperlink xmlns:r="http://schemas.openxmlformats.org/officeDocument/2006/relationships" ref="L75" r:id="rId60"/>
    <hyperlink xmlns:r="http://schemas.openxmlformats.org/officeDocument/2006/relationships" ref="L77" r:id="rId61"/>
    <hyperlink xmlns:r="http://schemas.openxmlformats.org/officeDocument/2006/relationships" ref="L84" r:id="rId62"/>
    <hyperlink xmlns:r="http://schemas.openxmlformats.org/officeDocument/2006/relationships" ref="L85" r:id="rId63"/>
    <hyperlink xmlns:r="http://schemas.openxmlformats.org/officeDocument/2006/relationships" ref="L87" r:id="rId64"/>
    <hyperlink xmlns:r="http://schemas.openxmlformats.org/officeDocument/2006/relationships" ref="L88" r:id="rId65"/>
    <hyperlink xmlns:r="http://schemas.openxmlformats.org/officeDocument/2006/relationships" ref="L89" r:id="rId66"/>
    <hyperlink xmlns:r="http://schemas.openxmlformats.org/officeDocument/2006/relationships" ref="L90" r:id="rId67"/>
    <hyperlink xmlns:r="http://schemas.openxmlformats.org/officeDocument/2006/relationships" ref="L91" r:id="rId68"/>
    <hyperlink xmlns:r="http://schemas.openxmlformats.org/officeDocument/2006/relationships" ref="L92" r:id="rId69"/>
    <hyperlink xmlns:r="http://schemas.openxmlformats.org/officeDocument/2006/relationships" ref="L93" r:id="rId70"/>
    <hyperlink xmlns:r="http://schemas.openxmlformats.org/officeDocument/2006/relationships" ref="L95" r:id="rId71"/>
    <hyperlink xmlns:r="http://schemas.openxmlformats.org/officeDocument/2006/relationships" ref="L97" r:id="rId72"/>
    <hyperlink xmlns:r="http://schemas.openxmlformats.org/officeDocument/2006/relationships" ref="L98" r:id="rId73"/>
    <hyperlink xmlns:r="http://schemas.openxmlformats.org/officeDocument/2006/relationships" ref="L99" r:id="rId74"/>
    <hyperlink xmlns:r="http://schemas.openxmlformats.org/officeDocument/2006/relationships" ref="L100" r:id="rId75"/>
    <hyperlink xmlns:r="http://schemas.openxmlformats.org/officeDocument/2006/relationships" ref="L101" r:id="rId76"/>
    <hyperlink xmlns:r="http://schemas.openxmlformats.org/officeDocument/2006/relationships" ref="L102" r:id="rId77"/>
    <hyperlink xmlns:r="http://schemas.openxmlformats.org/officeDocument/2006/relationships" ref="L103" r:id="rId78"/>
    <hyperlink xmlns:r="http://schemas.openxmlformats.org/officeDocument/2006/relationships" ref="L104" r:id="rId79"/>
    <hyperlink xmlns:r="http://schemas.openxmlformats.org/officeDocument/2006/relationships" ref="L105" r:id="rId80"/>
    <hyperlink xmlns:r="http://schemas.openxmlformats.org/officeDocument/2006/relationships" ref="L106" r:id="rId81"/>
    <hyperlink xmlns:r="http://schemas.openxmlformats.org/officeDocument/2006/relationships" ref="L107" r:id="rId82"/>
    <hyperlink xmlns:r="http://schemas.openxmlformats.org/officeDocument/2006/relationships" ref="L108" r:id="rId83"/>
    <hyperlink xmlns:r="http://schemas.openxmlformats.org/officeDocument/2006/relationships" ref="L109" r:id="rId84"/>
    <hyperlink xmlns:r="http://schemas.openxmlformats.org/officeDocument/2006/relationships" ref="L111" r:id="rId85"/>
    <hyperlink xmlns:r="http://schemas.openxmlformats.org/officeDocument/2006/relationships" ref="L112" r:id="rId86"/>
    <hyperlink xmlns:r="http://schemas.openxmlformats.org/officeDocument/2006/relationships" ref="L113" r:id="rId87"/>
    <hyperlink xmlns:r="http://schemas.openxmlformats.org/officeDocument/2006/relationships" ref="L114" r:id="rId88"/>
    <hyperlink xmlns:r="http://schemas.openxmlformats.org/officeDocument/2006/relationships" ref="L115" r:id="rId89"/>
    <hyperlink xmlns:r="http://schemas.openxmlformats.org/officeDocument/2006/relationships" ref="L116" r:id="rId90"/>
    <hyperlink xmlns:r="http://schemas.openxmlformats.org/officeDocument/2006/relationships" ref="L117" r:id="rId91"/>
    <hyperlink xmlns:r="http://schemas.openxmlformats.org/officeDocument/2006/relationships" ref="L118" r:id="rId92"/>
    <hyperlink xmlns:r="http://schemas.openxmlformats.org/officeDocument/2006/relationships" ref="L119" r:id="rId93"/>
    <hyperlink xmlns:r="http://schemas.openxmlformats.org/officeDocument/2006/relationships" ref="L120" r:id="rId94"/>
    <hyperlink xmlns:r="http://schemas.openxmlformats.org/officeDocument/2006/relationships" ref="L121" r:id="rId95"/>
    <hyperlink xmlns:r="http://schemas.openxmlformats.org/officeDocument/2006/relationships" ref="L122" r:id="rId96"/>
    <hyperlink xmlns:r="http://schemas.openxmlformats.org/officeDocument/2006/relationships" ref="L123" r:id="rId97"/>
    <hyperlink xmlns:r="http://schemas.openxmlformats.org/officeDocument/2006/relationships" ref="L124" r:id="rId98"/>
    <hyperlink xmlns:r="http://schemas.openxmlformats.org/officeDocument/2006/relationships" ref="L125" r:id="rId99"/>
    <hyperlink xmlns:r="http://schemas.openxmlformats.org/officeDocument/2006/relationships" ref="L126" r:id="rId100"/>
    <hyperlink xmlns:r="http://schemas.openxmlformats.org/officeDocument/2006/relationships" ref="L127" r:id="rId101"/>
    <hyperlink xmlns:r="http://schemas.openxmlformats.org/officeDocument/2006/relationships" ref="L128" r:id="rId102"/>
    <hyperlink xmlns:r="http://schemas.openxmlformats.org/officeDocument/2006/relationships" ref="L129" r:id="rId103"/>
    <hyperlink xmlns:r="http://schemas.openxmlformats.org/officeDocument/2006/relationships" ref="L130" r:id="rId104"/>
    <hyperlink xmlns:r="http://schemas.openxmlformats.org/officeDocument/2006/relationships" ref="L131" r:id="rId105"/>
    <hyperlink xmlns:r="http://schemas.openxmlformats.org/officeDocument/2006/relationships" ref="L132" r:id="rId106"/>
    <hyperlink xmlns:r="http://schemas.openxmlformats.org/officeDocument/2006/relationships" ref="L133" r:id="rId107"/>
    <hyperlink xmlns:r="http://schemas.openxmlformats.org/officeDocument/2006/relationships" ref="L134" r:id="rId108"/>
    <hyperlink xmlns:r="http://schemas.openxmlformats.org/officeDocument/2006/relationships" ref="L135" r:id="rId109"/>
    <hyperlink xmlns:r="http://schemas.openxmlformats.org/officeDocument/2006/relationships" ref="L136" r:id="rId110"/>
    <hyperlink xmlns:r="http://schemas.openxmlformats.org/officeDocument/2006/relationships" ref="L137" r:id="rId111"/>
    <hyperlink xmlns:r="http://schemas.openxmlformats.org/officeDocument/2006/relationships" ref="L138" r:id="rId112"/>
    <hyperlink xmlns:r="http://schemas.openxmlformats.org/officeDocument/2006/relationships" ref="L139" r:id="rId113"/>
    <hyperlink xmlns:r="http://schemas.openxmlformats.org/officeDocument/2006/relationships" ref="L140" r:id="rId114"/>
    <hyperlink xmlns:r="http://schemas.openxmlformats.org/officeDocument/2006/relationships" ref="L142" r:id="rId115"/>
    <hyperlink xmlns:r="http://schemas.openxmlformats.org/officeDocument/2006/relationships" ref="L143" r:id="rId116"/>
    <hyperlink xmlns:r="http://schemas.openxmlformats.org/officeDocument/2006/relationships" ref="L144" r:id="rId117"/>
    <hyperlink xmlns:r="http://schemas.openxmlformats.org/officeDocument/2006/relationships" ref="L145" r:id="rId118"/>
    <hyperlink xmlns:r="http://schemas.openxmlformats.org/officeDocument/2006/relationships" ref="L146" r:id="rId119"/>
    <hyperlink xmlns:r="http://schemas.openxmlformats.org/officeDocument/2006/relationships" ref="L148" r:id="rId120"/>
    <hyperlink xmlns:r="http://schemas.openxmlformats.org/officeDocument/2006/relationships" ref="L149" r:id="rId121"/>
    <hyperlink xmlns:r="http://schemas.openxmlformats.org/officeDocument/2006/relationships" ref="L150" r:id="rId122"/>
    <hyperlink xmlns:r="http://schemas.openxmlformats.org/officeDocument/2006/relationships" ref="L151" r:id="rId123"/>
    <hyperlink xmlns:r="http://schemas.openxmlformats.org/officeDocument/2006/relationships" ref="L152" r:id="rId124"/>
    <hyperlink xmlns:r="http://schemas.openxmlformats.org/officeDocument/2006/relationships" ref="L153" r:id="rId125"/>
    <hyperlink xmlns:r="http://schemas.openxmlformats.org/officeDocument/2006/relationships" ref="L154" r:id="rId126"/>
    <hyperlink xmlns:r="http://schemas.openxmlformats.org/officeDocument/2006/relationships" ref="L155" r:id="rId127"/>
    <hyperlink xmlns:r="http://schemas.openxmlformats.org/officeDocument/2006/relationships" ref="L156" r:id="rId128"/>
    <hyperlink xmlns:r="http://schemas.openxmlformats.org/officeDocument/2006/relationships" ref="L157" r:id="rId129"/>
    <hyperlink xmlns:r="http://schemas.openxmlformats.org/officeDocument/2006/relationships" ref="L158" r:id="rId130"/>
    <hyperlink xmlns:r="http://schemas.openxmlformats.org/officeDocument/2006/relationships" ref="L159" r:id="rId131"/>
    <hyperlink xmlns:r="http://schemas.openxmlformats.org/officeDocument/2006/relationships" ref="L160" r:id="rId132"/>
    <hyperlink xmlns:r="http://schemas.openxmlformats.org/officeDocument/2006/relationships" ref="L161" r:id="rId133"/>
    <hyperlink xmlns:r="http://schemas.openxmlformats.org/officeDocument/2006/relationships" ref="L162" r:id="rId134"/>
    <hyperlink xmlns:r="http://schemas.openxmlformats.org/officeDocument/2006/relationships" ref="L163" r:id="rId135"/>
    <hyperlink xmlns:r="http://schemas.openxmlformats.org/officeDocument/2006/relationships" ref="L164" r:id="rId136"/>
    <hyperlink xmlns:r="http://schemas.openxmlformats.org/officeDocument/2006/relationships" ref="L165" r:id="rId137"/>
    <hyperlink xmlns:r="http://schemas.openxmlformats.org/officeDocument/2006/relationships" ref="L167" r:id="rId138"/>
    <hyperlink xmlns:r="http://schemas.openxmlformats.org/officeDocument/2006/relationships" ref="L168" r:id="rId139"/>
    <hyperlink xmlns:r="http://schemas.openxmlformats.org/officeDocument/2006/relationships" ref="L169" r:id="rId140"/>
    <hyperlink xmlns:r="http://schemas.openxmlformats.org/officeDocument/2006/relationships" ref="L170" r:id="rId141"/>
    <hyperlink xmlns:r="http://schemas.openxmlformats.org/officeDocument/2006/relationships" ref="L171" r:id="rId142"/>
    <hyperlink xmlns:r="http://schemas.openxmlformats.org/officeDocument/2006/relationships" ref="L172" r:id="rId143"/>
    <hyperlink xmlns:r="http://schemas.openxmlformats.org/officeDocument/2006/relationships" ref="L173" r:id="rId144"/>
    <hyperlink xmlns:r="http://schemas.openxmlformats.org/officeDocument/2006/relationships" ref="L174" r:id="rId145"/>
    <hyperlink xmlns:r="http://schemas.openxmlformats.org/officeDocument/2006/relationships" ref="L175" r:id="rId146"/>
    <hyperlink xmlns:r="http://schemas.openxmlformats.org/officeDocument/2006/relationships" ref="L176" r:id="rId147"/>
    <hyperlink xmlns:r="http://schemas.openxmlformats.org/officeDocument/2006/relationships" ref="L177" r:id="rId148"/>
    <hyperlink xmlns:r="http://schemas.openxmlformats.org/officeDocument/2006/relationships" ref="L178" r:id="rId149"/>
    <hyperlink xmlns:r="http://schemas.openxmlformats.org/officeDocument/2006/relationships" ref="L179" r:id="rId150"/>
    <hyperlink xmlns:r="http://schemas.openxmlformats.org/officeDocument/2006/relationships" ref="L180" r:id="rId151"/>
    <hyperlink xmlns:r="http://schemas.openxmlformats.org/officeDocument/2006/relationships" ref="L181" r:id="rId152"/>
    <hyperlink xmlns:r="http://schemas.openxmlformats.org/officeDocument/2006/relationships" ref="L182" r:id="rId153"/>
    <hyperlink xmlns:r="http://schemas.openxmlformats.org/officeDocument/2006/relationships" ref="L183" r:id="rId154"/>
    <hyperlink xmlns:r="http://schemas.openxmlformats.org/officeDocument/2006/relationships" ref="L184" r:id="rId155"/>
    <hyperlink xmlns:r="http://schemas.openxmlformats.org/officeDocument/2006/relationships" ref="L185" r:id="rId156"/>
    <hyperlink xmlns:r="http://schemas.openxmlformats.org/officeDocument/2006/relationships" ref="L186" r:id="rId157"/>
    <hyperlink xmlns:r="http://schemas.openxmlformats.org/officeDocument/2006/relationships" ref="L187" r:id="rId158"/>
    <hyperlink xmlns:r="http://schemas.openxmlformats.org/officeDocument/2006/relationships" ref="L188" r:id="rId159"/>
    <hyperlink xmlns:r="http://schemas.openxmlformats.org/officeDocument/2006/relationships" ref="L189" r:id="rId160"/>
    <hyperlink xmlns:r="http://schemas.openxmlformats.org/officeDocument/2006/relationships" ref="L190" r:id="rId161"/>
    <hyperlink xmlns:r="http://schemas.openxmlformats.org/officeDocument/2006/relationships" ref="L191" r:id="rId162"/>
    <hyperlink xmlns:r="http://schemas.openxmlformats.org/officeDocument/2006/relationships" ref="L192" r:id="rId163"/>
    <hyperlink xmlns:r="http://schemas.openxmlformats.org/officeDocument/2006/relationships" ref="L193" r:id="rId164"/>
    <hyperlink xmlns:r="http://schemas.openxmlformats.org/officeDocument/2006/relationships" ref="L194" r:id="rId165"/>
    <hyperlink xmlns:r="http://schemas.openxmlformats.org/officeDocument/2006/relationships" ref="L195" r:id="rId166"/>
    <hyperlink xmlns:r="http://schemas.openxmlformats.org/officeDocument/2006/relationships" ref="L196" r:id="rId167"/>
    <hyperlink xmlns:r="http://schemas.openxmlformats.org/officeDocument/2006/relationships" ref="L197" r:id="rId168"/>
    <hyperlink xmlns:r="http://schemas.openxmlformats.org/officeDocument/2006/relationships" ref="L198" r:id="rId169"/>
    <hyperlink xmlns:r="http://schemas.openxmlformats.org/officeDocument/2006/relationships" ref="L200" r:id="rId170"/>
    <hyperlink xmlns:r="http://schemas.openxmlformats.org/officeDocument/2006/relationships" ref="L201" r:id="rId171"/>
    <hyperlink xmlns:r="http://schemas.openxmlformats.org/officeDocument/2006/relationships" ref="L202" r:id="rId172"/>
    <hyperlink xmlns:r="http://schemas.openxmlformats.org/officeDocument/2006/relationships" ref="L203" r:id="rId173"/>
    <hyperlink xmlns:r="http://schemas.openxmlformats.org/officeDocument/2006/relationships" ref="L205" r:id="rId174"/>
    <hyperlink xmlns:r="http://schemas.openxmlformats.org/officeDocument/2006/relationships" ref="L206" r:id="rId175"/>
    <hyperlink xmlns:r="http://schemas.openxmlformats.org/officeDocument/2006/relationships" ref="L207" r:id="rId176"/>
    <hyperlink xmlns:r="http://schemas.openxmlformats.org/officeDocument/2006/relationships" ref="L208" r:id="rId177"/>
    <hyperlink xmlns:r="http://schemas.openxmlformats.org/officeDocument/2006/relationships" ref="L209" r:id="rId178"/>
    <hyperlink xmlns:r="http://schemas.openxmlformats.org/officeDocument/2006/relationships" ref="L212" r:id="rId179"/>
    <hyperlink xmlns:r="http://schemas.openxmlformats.org/officeDocument/2006/relationships" ref="L213" r:id="rId180"/>
    <hyperlink xmlns:r="http://schemas.openxmlformats.org/officeDocument/2006/relationships" ref="L214" r:id="rId181"/>
    <hyperlink xmlns:r="http://schemas.openxmlformats.org/officeDocument/2006/relationships" ref="L215" r:id="rId182"/>
    <hyperlink xmlns:r="http://schemas.openxmlformats.org/officeDocument/2006/relationships" ref="L216" r:id="rId183"/>
    <hyperlink xmlns:r="http://schemas.openxmlformats.org/officeDocument/2006/relationships" ref="L217" r:id="rId184"/>
    <hyperlink xmlns:r="http://schemas.openxmlformats.org/officeDocument/2006/relationships" ref="L218" r:id="rId185"/>
    <hyperlink xmlns:r="http://schemas.openxmlformats.org/officeDocument/2006/relationships" ref="L219" r:id="rId186"/>
    <hyperlink xmlns:r="http://schemas.openxmlformats.org/officeDocument/2006/relationships" ref="L220" r:id="rId187"/>
    <hyperlink xmlns:r="http://schemas.openxmlformats.org/officeDocument/2006/relationships" ref="L221" r:id="rId188"/>
    <hyperlink xmlns:r="http://schemas.openxmlformats.org/officeDocument/2006/relationships" ref="L222" r:id="rId189"/>
    <hyperlink xmlns:r="http://schemas.openxmlformats.org/officeDocument/2006/relationships" ref="L223" r:id="rId190"/>
    <hyperlink xmlns:r="http://schemas.openxmlformats.org/officeDocument/2006/relationships" ref="L224" r:id="rId191"/>
    <hyperlink xmlns:r="http://schemas.openxmlformats.org/officeDocument/2006/relationships" ref="L225" r:id="rId192"/>
    <hyperlink xmlns:r="http://schemas.openxmlformats.org/officeDocument/2006/relationships" ref="L230" r:id="rId193"/>
    <hyperlink xmlns:r="http://schemas.openxmlformats.org/officeDocument/2006/relationships" ref="L231" r:id="rId194"/>
    <hyperlink xmlns:r="http://schemas.openxmlformats.org/officeDocument/2006/relationships" ref="L232" r:id="rId195"/>
    <hyperlink xmlns:r="http://schemas.openxmlformats.org/officeDocument/2006/relationships" ref="L233" r:id="rId196"/>
    <hyperlink xmlns:r="http://schemas.openxmlformats.org/officeDocument/2006/relationships" ref="L234" r:id="rId197"/>
    <hyperlink xmlns:r="http://schemas.openxmlformats.org/officeDocument/2006/relationships" ref="L235" r:id="rId198"/>
    <hyperlink xmlns:r="http://schemas.openxmlformats.org/officeDocument/2006/relationships" ref="L236" r:id="rId199"/>
    <hyperlink xmlns:r="http://schemas.openxmlformats.org/officeDocument/2006/relationships" ref="L237" r:id="rId200"/>
    <hyperlink xmlns:r="http://schemas.openxmlformats.org/officeDocument/2006/relationships" ref="L238" r:id="rId201"/>
    <hyperlink xmlns:r="http://schemas.openxmlformats.org/officeDocument/2006/relationships" ref="L239" r:id="rId202"/>
    <hyperlink xmlns:r="http://schemas.openxmlformats.org/officeDocument/2006/relationships" ref="L240" r:id="rId203"/>
    <hyperlink xmlns:r="http://schemas.openxmlformats.org/officeDocument/2006/relationships" ref="L241" r:id="rId204"/>
    <hyperlink xmlns:r="http://schemas.openxmlformats.org/officeDocument/2006/relationships" ref="L242" r:id="rId205"/>
    <hyperlink xmlns:r="http://schemas.openxmlformats.org/officeDocument/2006/relationships" ref="L243" r:id="rId206"/>
    <hyperlink xmlns:r="http://schemas.openxmlformats.org/officeDocument/2006/relationships" ref="L244" r:id="rId207"/>
    <hyperlink xmlns:r="http://schemas.openxmlformats.org/officeDocument/2006/relationships" ref="L245" r:id="rId208"/>
    <hyperlink xmlns:r="http://schemas.openxmlformats.org/officeDocument/2006/relationships" ref="L246" r:id="rId209"/>
    <hyperlink xmlns:r="http://schemas.openxmlformats.org/officeDocument/2006/relationships" ref="L247" r:id="rId210"/>
    <hyperlink xmlns:r="http://schemas.openxmlformats.org/officeDocument/2006/relationships" ref="L248" r:id="rId211"/>
    <hyperlink xmlns:r="http://schemas.openxmlformats.org/officeDocument/2006/relationships" ref="L249" r:id="rId212"/>
    <hyperlink xmlns:r="http://schemas.openxmlformats.org/officeDocument/2006/relationships" ref="L250" r:id="rId213"/>
    <hyperlink xmlns:r="http://schemas.openxmlformats.org/officeDocument/2006/relationships" ref="L251" r:id="rId214"/>
    <hyperlink xmlns:r="http://schemas.openxmlformats.org/officeDocument/2006/relationships" ref="L252" r:id="rId215"/>
    <hyperlink xmlns:r="http://schemas.openxmlformats.org/officeDocument/2006/relationships" ref="L253" r:id="rId216"/>
    <hyperlink xmlns:r="http://schemas.openxmlformats.org/officeDocument/2006/relationships" ref="L254" r:id="rId217"/>
    <hyperlink xmlns:r="http://schemas.openxmlformats.org/officeDocument/2006/relationships" ref="L255" r:id="rId218"/>
    <hyperlink xmlns:r="http://schemas.openxmlformats.org/officeDocument/2006/relationships" ref="L256" r:id="rId219"/>
    <hyperlink xmlns:r="http://schemas.openxmlformats.org/officeDocument/2006/relationships" ref="L257" r:id="rId220"/>
    <hyperlink xmlns:r="http://schemas.openxmlformats.org/officeDocument/2006/relationships" ref="L258" r:id="rId221"/>
    <hyperlink xmlns:r="http://schemas.openxmlformats.org/officeDocument/2006/relationships" ref="L259" r:id="rId222"/>
    <hyperlink xmlns:r="http://schemas.openxmlformats.org/officeDocument/2006/relationships" ref="L260" r:id="rId223"/>
    <hyperlink xmlns:r="http://schemas.openxmlformats.org/officeDocument/2006/relationships" ref="L261" r:id="rId224"/>
    <hyperlink xmlns:r="http://schemas.openxmlformats.org/officeDocument/2006/relationships" ref="L262" r:id="rId225"/>
    <hyperlink xmlns:r="http://schemas.openxmlformats.org/officeDocument/2006/relationships" ref="L263" r:id="rId226"/>
    <hyperlink xmlns:r="http://schemas.openxmlformats.org/officeDocument/2006/relationships" ref="L264" r:id="rId227"/>
    <hyperlink xmlns:r="http://schemas.openxmlformats.org/officeDocument/2006/relationships" ref="L265" r:id="rId228"/>
    <hyperlink xmlns:r="http://schemas.openxmlformats.org/officeDocument/2006/relationships" ref="L266" r:id="rId229"/>
    <hyperlink xmlns:r="http://schemas.openxmlformats.org/officeDocument/2006/relationships" ref="L267" r:id="rId230"/>
    <hyperlink xmlns:r="http://schemas.openxmlformats.org/officeDocument/2006/relationships" ref="L268" r:id="rId231"/>
    <hyperlink xmlns:r="http://schemas.openxmlformats.org/officeDocument/2006/relationships" ref="L269" r:id="rId232"/>
    <hyperlink xmlns:r="http://schemas.openxmlformats.org/officeDocument/2006/relationships" ref="L270" r:id="rId233"/>
    <hyperlink xmlns:r="http://schemas.openxmlformats.org/officeDocument/2006/relationships" ref="L271" r:id="rId234"/>
    <hyperlink xmlns:r="http://schemas.openxmlformats.org/officeDocument/2006/relationships" ref="L272" r:id="rId235"/>
    <hyperlink xmlns:r="http://schemas.openxmlformats.org/officeDocument/2006/relationships" ref="L273" r:id="rId236"/>
    <hyperlink xmlns:r="http://schemas.openxmlformats.org/officeDocument/2006/relationships" ref="L274" r:id="rId237"/>
    <hyperlink xmlns:r="http://schemas.openxmlformats.org/officeDocument/2006/relationships" ref="L275" r:id="rId238"/>
    <hyperlink xmlns:r="http://schemas.openxmlformats.org/officeDocument/2006/relationships" ref="L276" r:id="rId239"/>
    <hyperlink xmlns:r="http://schemas.openxmlformats.org/officeDocument/2006/relationships" ref="L277" r:id="rId240"/>
    <hyperlink xmlns:r="http://schemas.openxmlformats.org/officeDocument/2006/relationships" ref="L278" r:id="rId241"/>
    <hyperlink xmlns:r="http://schemas.openxmlformats.org/officeDocument/2006/relationships" ref="L279" r:id="rId242"/>
    <hyperlink xmlns:r="http://schemas.openxmlformats.org/officeDocument/2006/relationships" ref="L280" r:id="rId243"/>
    <hyperlink xmlns:r="http://schemas.openxmlformats.org/officeDocument/2006/relationships" ref="L281" r:id="rId244"/>
    <hyperlink xmlns:r="http://schemas.openxmlformats.org/officeDocument/2006/relationships" ref="L282" r:id="rId245"/>
    <hyperlink xmlns:r="http://schemas.openxmlformats.org/officeDocument/2006/relationships" ref="L283" r:id="rId246"/>
    <hyperlink xmlns:r="http://schemas.openxmlformats.org/officeDocument/2006/relationships" ref="L284" r:id="rId247"/>
    <hyperlink xmlns:r="http://schemas.openxmlformats.org/officeDocument/2006/relationships" ref="L285" r:id="rId248"/>
    <hyperlink xmlns:r="http://schemas.openxmlformats.org/officeDocument/2006/relationships" ref="L286" r:id="rId249"/>
    <hyperlink xmlns:r="http://schemas.openxmlformats.org/officeDocument/2006/relationships" ref="L287" r:id="rId250"/>
    <hyperlink xmlns:r="http://schemas.openxmlformats.org/officeDocument/2006/relationships" ref="L288" r:id="rId251"/>
    <hyperlink xmlns:r="http://schemas.openxmlformats.org/officeDocument/2006/relationships" ref="L289" r:id="rId252"/>
    <hyperlink xmlns:r="http://schemas.openxmlformats.org/officeDocument/2006/relationships" ref="L290" r:id="rId253"/>
    <hyperlink xmlns:r="http://schemas.openxmlformats.org/officeDocument/2006/relationships" ref="L291" r:id="rId254"/>
    <hyperlink xmlns:r="http://schemas.openxmlformats.org/officeDocument/2006/relationships" ref="L292" r:id="rId255"/>
    <hyperlink xmlns:r="http://schemas.openxmlformats.org/officeDocument/2006/relationships" ref="L293" r:id="rId256"/>
    <hyperlink xmlns:r="http://schemas.openxmlformats.org/officeDocument/2006/relationships" ref="L294" r:id="rId257"/>
    <hyperlink xmlns:r="http://schemas.openxmlformats.org/officeDocument/2006/relationships" ref="L295" r:id="rId258"/>
    <hyperlink xmlns:r="http://schemas.openxmlformats.org/officeDocument/2006/relationships" ref="L296" r:id="rId259"/>
    <hyperlink xmlns:r="http://schemas.openxmlformats.org/officeDocument/2006/relationships" ref="L297" r:id="rId260"/>
    <hyperlink xmlns:r="http://schemas.openxmlformats.org/officeDocument/2006/relationships" ref="L298" r:id="rId261"/>
    <hyperlink xmlns:r="http://schemas.openxmlformats.org/officeDocument/2006/relationships" ref="L299" r:id="rId262"/>
    <hyperlink xmlns:r="http://schemas.openxmlformats.org/officeDocument/2006/relationships" ref="L300" r:id="rId263"/>
    <hyperlink xmlns:r="http://schemas.openxmlformats.org/officeDocument/2006/relationships" ref="L301" r:id="rId264"/>
    <hyperlink xmlns:r="http://schemas.openxmlformats.org/officeDocument/2006/relationships" ref="L302" r:id="rId265"/>
    <hyperlink xmlns:r="http://schemas.openxmlformats.org/officeDocument/2006/relationships" ref="L303" r:id="rId266"/>
    <hyperlink xmlns:r="http://schemas.openxmlformats.org/officeDocument/2006/relationships" ref="L304" r:id="rId267"/>
    <hyperlink xmlns:r="http://schemas.openxmlformats.org/officeDocument/2006/relationships" ref="L305" r:id="rId268"/>
    <hyperlink xmlns:r="http://schemas.openxmlformats.org/officeDocument/2006/relationships" ref="L306" r:id="rId269"/>
    <hyperlink xmlns:r="http://schemas.openxmlformats.org/officeDocument/2006/relationships" ref="L307" r:id="rId270"/>
    <hyperlink xmlns:r="http://schemas.openxmlformats.org/officeDocument/2006/relationships" ref="L308" r:id="rId271"/>
    <hyperlink xmlns:r="http://schemas.openxmlformats.org/officeDocument/2006/relationships" ref="L309" r:id="rId272"/>
    <hyperlink xmlns:r="http://schemas.openxmlformats.org/officeDocument/2006/relationships" ref="L310" r:id="rId273"/>
    <hyperlink xmlns:r="http://schemas.openxmlformats.org/officeDocument/2006/relationships" ref="L311" r:id="rId274"/>
    <hyperlink xmlns:r="http://schemas.openxmlformats.org/officeDocument/2006/relationships" ref="L312" r:id="rId27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4" customWidth="1" min="2" max="2"/>
    <col width="4" customWidth="1" min="3" max="3"/>
    <col width="35" customWidth="1" min="4" max="4"/>
    <col width="13" customWidth="1" min="5" max="5"/>
    <col width="13" customWidth="1" min="6" max="6"/>
    <col width="7" customWidth="1" min="7" max="7"/>
    <col width="50" customWidth="1" min="8" max="8"/>
    <col width="16" customWidth="1" min="9" max="9"/>
    <col width="11" customWidth="1" min="10" max="10"/>
    <col width="28" customWidth="1" min="11" max="11"/>
    <col width="35" customWidth="1" min="12" max="12"/>
    <col width="7" customWidth="1" min="13" max="13"/>
  </cols>
  <sheetData>
    <row r="1" ht="24" customHeight="1">
      <c r="A1" s="11" t="inlineStr">
        <is>
          <t>CAAR Litigation Analytics  -  Mumbai Rulings</t>
        </is>
      </c>
    </row>
    <row r="2">
      <c r="A2" s="2" t="inlineStr">
        <is>
          <t>0 records</t>
        </is>
      </c>
    </row>
    <row r="4" ht="32" customHeight="1">
      <c r="A4" s="12" t="inlineStr">
        <is>
          <t>Section</t>
        </is>
      </c>
      <c r="B4" s="12" t="inlineStr">
        <is>
          <t>Pg</t>
        </is>
      </c>
      <c r="C4" s="12" t="inlineStr">
        <is>
          <t>Sl</t>
        </is>
      </c>
      <c r="D4" s="12" t="inlineStr">
        <is>
          <t>Applicant</t>
        </is>
      </c>
      <c r="E4" s="12" t="inlineStr">
        <is>
          <t>Date of Application</t>
        </is>
      </c>
      <c r="F4" s="12" t="inlineStr">
        <is>
          <t>Date of Ruling</t>
        </is>
      </c>
      <c r="G4" s="12" t="inlineStr">
        <is>
          <t>Year</t>
        </is>
      </c>
      <c r="H4" s="12" t="inlineStr">
        <is>
          <t>Subject</t>
        </is>
      </c>
      <c r="I4" s="12" t="inlineStr">
        <is>
          <t>Issue Type</t>
        </is>
      </c>
      <c r="J4" s="12" t="inlineStr">
        <is>
          <t>Confidence</t>
        </is>
      </c>
      <c r="K4" s="12" t="inlineStr">
        <is>
          <t>Ruling No.</t>
        </is>
      </c>
      <c r="L4" s="12" t="inlineStr">
        <is>
          <t>PDF Link</t>
        </is>
      </c>
      <c r="M4" s="12" t="inlineStr">
        <is>
          <t>PDF?</t>
        </is>
      </c>
    </row>
    <row r="5"/>
  </sheetData>
  <mergeCells count="2">
    <mergeCell ref="A2:M2"/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4" customWidth="1" min="2" max="2"/>
    <col width="4" customWidth="1" min="3" max="3"/>
    <col width="35" customWidth="1" min="4" max="4"/>
    <col width="13" customWidth="1" min="5" max="5"/>
    <col width="13" customWidth="1" min="6" max="6"/>
    <col width="7" customWidth="1" min="7" max="7"/>
    <col width="50" customWidth="1" min="8" max="8"/>
    <col width="16" customWidth="1" min="9" max="9"/>
    <col width="11" customWidth="1" min="10" max="10"/>
    <col width="28" customWidth="1" min="11" max="11"/>
    <col width="35" customWidth="1" min="12" max="12"/>
    <col width="7" customWidth="1" min="13" max="13"/>
  </cols>
  <sheetData>
    <row r="1" ht="24" customHeight="1">
      <c r="A1" s="11" t="inlineStr">
        <is>
          <t>CAAR Litigation Analytics  -  Mumbai Orders</t>
        </is>
      </c>
    </row>
    <row r="2">
      <c r="A2" s="2" t="inlineStr">
        <is>
          <t>0 records</t>
        </is>
      </c>
    </row>
    <row r="4" ht="32" customHeight="1">
      <c r="A4" s="12" t="inlineStr">
        <is>
          <t>Section</t>
        </is>
      </c>
      <c r="B4" s="12" t="inlineStr">
        <is>
          <t>Pg</t>
        </is>
      </c>
      <c r="C4" s="12" t="inlineStr">
        <is>
          <t>Sl</t>
        </is>
      </c>
      <c r="D4" s="12" t="inlineStr">
        <is>
          <t>Applicant</t>
        </is>
      </c>
      <c r="E4" s="12" t="inlineStr">
        <is>
          <t>Date of Application</t>
        </is>
      </c>
      <c r="F4" s="12" t="inlineStr">
        <is>
          <t>Date of Ruling</t>
        </is>
      </c>
      <c r="G4" s="12" t="inlineStr">
        <is>
          <t>Year</t>
        </is>
      </c>
      <c r="H4" s="12" t="inlineStr">
        <is>
          <t>Subject</t>
        </is>
      </c>
      <c r="I4" s="12" t="inlineStr">
        <is>
          <t>Issue Type</t>
        </is>
      </c>
      <c r="J4" s="12" t="inlineStr">
        <is>
          <t>Confidence</t>
        </is>
      </c>
      <c r="K4" s="12" t="inlineStr">
        <is>
          <t>Ruling No.</t>
        </is>
      </c>
      <c r="L4" s="12" t="inlineStr">
        <is>
          <t>PDF Link</t>
        </is>
      </c>
      <c r="M4" s="12" t="inlineStr">
        <is>
          <t>PDF?</t>
        </is>
      </c>
    </row>
    <row r="5"/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4" customWidth="1" min="2" max="2"/>
    <col width="4" customWidth="1" min="3" max="3"/>
    <col width="35" customWidth="1" min="4" max="4"/>
    <col width="13" customWidth="1" min="5" max="5"/>
    <col width="13" customWidth="1" min="6" max="6"/>
    <col width="7" customWidth="1" min="7" max="7"/>
    <col width="50" customWidth="1" min="8" max="8"/>
    <col width="16" customWidth="1" min="9" max="9"/>
    <col width="11" customWidth="1" min="10" max="10"/>
    <col width="28" customWidth="1" min="11" max="11"/>
    <col width="35" customWidth="1" min="12" max="12"/>
    <col width="7" customWidth="1" min="13" max="13"/>
  </cols>
  <sheetData>
    <row r="1" ht="24" customHeight="1">
      <c r="A1" s="11" t="inlineStr">
        <is>
          <t>CAAR Litigation Analytics  -  Delhi Rulings</t>
        </is>
      </c>
    </row>
    <row r="2">
      <c r="A2" s="2" t="inlineStr">
        <is>
          <t>308 records</t>
        </is>
      </c>
    </row>
    <row r="4" ht="32" customHeight="1">
      <c r="A4" s="12" t="inlineStr">
        <is>
          <t>Section</t>
        </is>
      </c>
      <c r="B4" s="12" t="inlineStr">
        <is>
          <t>Pg</t>
        </is>
      </c>
      <c r="C4" s="12" t="inlineStr">
        <is>
          <t>Sl</t>
        </is>
      </c>
      <c r="D4" s="12" t="inlineStr">
        <is>
          <t>Applicant</t>
        </is>
      </c>
      <c r="E4" s="12" t="inlineStr">
        <is>
          <t>Date of Application</t>
        </is>
      </c>
      <c r="F4" s="12" t="inlineStr">
        <is>
          <t>Date of Ruling</t>
        </is>
      </c>
      <c r="G4" s="12" t="inlineStr">
        <is>
          <t>Year</t>
        </is>
      </c>
      <c r="H4" s="12" t="inlineStr">
        <is>
          <t>Subject</t>
        </is>
      </c>
      <c r="I4" s="12" t="inlineStr">
        <is>
          <t>Issue Type</t>
        </is>
      </c>
      <c r="J4" s="12" t="inlineStr">
        <is>
          <t>Confidence</t>
        </is>
      </c>
      <c r="K4" s="12" t="inlineStr">
        <is>
          <t>Ruling No.</t>
        </is>
      </c>
      <c r="L4" s="12" t="inlineStr">
        <is>
          <t>PDF Link</t>
        </is>
      </c>
      <c r="M4" s="12" t="inlineStr">
        <is>
          <t>PDF?</t>
        </is>
      </c>
    </row>
    <row r="5">
      <c r="A5" s="13" t="inlineStr">
        <is>
          <t>Delhi Rulings</t>
        </is>
      </c>
      <c r="B5" s="13" t="inlineStr">
        <is>
          <t>1</t>
        </is>
      </c>
      <c r="C5" s="13" t="inlineStr">
        <is>
          <t>1</t>
        </is>
      </c>
      <c r="D5" s="13" t="inlineStr">
        <is>
          <t>M/s V.G. Enterprises</t>
        </is>
      </c>
      <c r="E5" s="13" t="inlineStr">
        <is>
          <t>02.03.2026</t>
        </is>
      </c>
      <c r="F5" s="13" t="inlineStr">
        <is>
          <t>12.05.2026</t>
        </is>
      </c>
      <c r="G5" s="13" t="inlineStr">
        <is>
          <t>2026</t>
        </is>
      </c>
      <c r="H5" s="13" t="inlineStr"/>
      <c r="I5" s="13" t="inlineStr">
        <is>
          <t>Unspecified</t>
        </is>
      </c>
      <c r="J5" s="13" t="inlineStr">
        <is>
          <t>low</t>
        </is>
      </c>
      <c r="K5" s="13" t="inlineStr">
        <is>
          <t>CAAR/Del/V.G./17-20/2026-27</t>
        </is>
      </c>
      <c r="L5" s="14" t="inlineStr">
        <is>
          <t>https://www.cbic.gov.in/content/pdf/CONTENTREPO/CAAR/caar-del-17-20-13052026.pdf</t>
        </is>
      </c>
      <c r="M5" s="13" t="inlineStr">
        <is>
          <t>YES</t>
        </is>
      </c>
    </row>
    <row r="6">
      <c r="A6" s="13" t="inlineStr">
        <is>
          <t>Delhi Rulings</t>
        </is>
      </c>
      <c r="B6" s="13" t="inlineStr">
        <is>
          <t>1</t>
        </is>
      </c>
      <c r="C6" s="13" t="inlineStr">
        <is>
          <t>2</t>
        </is>
      </c>
      <c r="D6" s="13" t="inlineStr">
        <is>
          <t>M/s Think Smart Consultant Private Limited</t>
        </is>
      </c>
      <c r="E6" s="13" t="inlineStr">
        <is>
          <t>30.03.2026</t>
        </is>
      </c>
      <c r="F6" s="13" t="inlineStr">
        <is>
          <t>04.05.2025</t>
        </is>
      </c>
      <c r="G6" s="13" t="inlineStr">
        <is>
          <t>2025</t>
        </is>
      </c>
      <c r="H6" s="13" t="inlineStr">
        <is>
          <t>Ruling is kept confidential</t>
        </is>
      </c>
      <c r="I6" s="13" t="inlineStr">
        <is>
          <t>Procedural</t>
        </is>
      </c>
      <c r="J6" s="13" t="inlineStr">
        <is>
          <t>explicit</t>
        </is>
      </c>
      <c r="K6" s="13" t="inlineStr">
        <is>
          <t>CAAR/Del/ThinkSmart/12-16/2026-27</t>
        </is>
      </c>
      <c r="L6" s="14" t="inlineStr">
        <is>
          <t>https://www.cbic.gov.in/content/pdf/CONTENTREPO/CAAR/caar-del-12-16-06052026.pdf</t>
        </is>
      </c>
      <c r="M6" s="13" t="inlineStr">
        <is>
          <t>YES</t>
        </is>
      </c>
    </row>
    <row r="7">
      <c r="A7" s="13" t="inlineStr">
        <is>
          <t>Delhi Rulings</t>
        </is>
      </c>
      <c r="B7" s="13" t="inlineStr">
        <is>
          <t>1</t>
        </is>
      </c>
      <c r="C7" s="13" t="inlineStr">
        <is>
          <t>3</t>
        </is>
      </c>
      <c r="D7" s="13" t="inlineStr">
        <is>
          <t>M/s Samsung India Electronics Private Limited</t>
        </is>
      </c>
      <c r="E7" s="13" t="inlineStr">
        <is>
          <t>16.12.2025</t>
        </is>
      </c>
      <c r="F7" s="13" t="inlineStr">
        <is>
          <t>04.05.2025</t>
        </is>
      </c>
      <c r="G7" s="13" t="inlineStr">
        <is>
          <t>2025</t>
        </is>
      </c>
      <c r="H7" s="13" t="inlineStr">
        <is>
          <t>Ruling is kept confidential</t>
        </is>
      </c>
      <c r="I7" s="13" t="inlineStr">
        <is>
          <t>Procedural</t>
        </is>
      </c>
      <c r="J7" s="13" t="inlineStr">
        <is>
          <t>explicit</t>
        </is>
      </c>
      <c r="K7" s="13" t="inlineStr">
        <is>
          <t>CCAAR/Del/Samsung/10/2026</t>
        </is>
      </c>
      <c r="L7" s="13" t="inlineStr"/>
      <c r="M7" s="13" t="inlineStr">
        <is>
          <t>NO</t>
        </is>
      </c>
    </row>
    <row r="8">
      <c r="A8" s="13" t="inlineStr">
        <is>
          <t>Delhi Rulings</t>
        </is>
      </c>
      <c r="B8" s="13" t="inlineStr">
        <is>
          <t>1</t>
        </is>
      </c>
      <c r="C8" s="13" t="inlineStr">
        <is>
          <t>4</t>
        </is>
      </c>
      <c r="D8" s="13" t="inlineStr">
        <is>
          <t>M/s Toyota Tsusho India Pvt Ltd</t>
        </is>
      </c>
      <c r="E8" s="13" t="inlineStr">
        <is>
          <t>03.02.2026</t>
        </is>
      </c>
      <c r="F8" s="13" t="inlineStr">
        <is>
          <t>04.05.2026</t>
        </is>
      </c>
      <c r="G8" s="13" t="inlineStr">
        <is>
          <t>2026</t>
        </is>
      </c>
      <c r="H8" s="13" t="inlineStr">
        <is>
          <t>Ruling is kept confidential</t>
        </is>
      </c>
      <c r="I8" s="13" t="inlineStr">
        <is>
          <t>Procedural</t>
        </is>
      </c>
      <c r="J8" s="13" t="inlineStr">
        <is>
          <t>explicit</t>
        </is>
      </c>
      <c r="K8" s="13" t="inlineStr">
        <is>
          <t>CAAR/Del/Toyota Tsusho/08/2026-27</t>
        </is>
      </c>
      <c r="L8" s="13" t="inlineStr"/>
      <c r="M8" s="13" t="inlineStr">
        <is>
          <t>NO</t>
        </is>
      </c>
    </row>
    <row r="9">
      <c r="A9" s="13" t="inlineStr">
        <is>
          <t>Delhi Rulings</t>
        </is>
      </c>
      <c r="B9" s="13" t="inlineStr">
        <is>
          <t>1</t>
        </is>
      </c>
      <c r="C9" s="13" t="inlineStr">
        <is>
          <t>5</t>
        </is>
      </c>
      <c r="D9" s="13" t="inlineStr">
        <is>
          <t>M/s. Samsung India Electronics Pvt Ltd</t>
        </is>
      </c>
      <c r="E9" s="13" t="inlineStr">
        <is>
          <t>23.01.2026</t>
        </is>
      </c>
      <c r="F9" s="13" t="inlineStr">
        <is>
          <t>24.04.2026</t>
        </is>
      </c>
      <c r="G9" s="13" t="inlineStr">
        <is>
          <t>2026</t>
        </is>
      </c>
      <c r="H9" s="13" t="inlineStr">
        <is>
          <t>Ruling is kept confidential</t>
        </is>
      </c>
      <c r="I9" s="13" t="inlineStr">
        <is>
          <t>Procedural</t>
        </is>
      </c>
      <c r="J9" s="13" t="inlineStr">
        <is>
          <t>explicit</t>
        </is>
      </c>
      <c r="K9" s="13" t="inlineStr">
        <is>
          <t>CAAR/Del/Samsung/07/2026-27</t>
        </is>
      </c>
      <c r="L9" s="13" t="inlineStr"/>
      <c r="M9" s="13" t="inlineStr">
        <is>
          <t>NO</t>
        </is>
      </c>
    </row>
    <row r="10">
      <c r="A10" s="13" t="inlineStr">
        <is>
          <t>Delhi Rulings</t>
        </is>
      </c>
      <c r="B10" s="13" t="inlineStr">
        <is>
          <t>1</t>
        </is>
      </c>
      <c r="C10" s="13" t="inlineStr">
        <is>
          <t>6</t>
        </is>
      </c>
      <c r="D10" s="13" t="inlineStr">
        <is>
          <t>M/s SWIFT DECORS, JAKHAL ROAD, SUNAM, SANGRUR, Punjab, 148028</t>
        </is>
      </c>
      <c r="E10" s="13" t="inlineStr">
        <is>
          <t>04.02.2026</t>
        </is>
      </c>
      <c r="F10" s="13" t="inlineStr">
        <is>
          <t>22.04.2026</t>
        </is>
      </c>
      <c r="G10" s="13" t="inlineStr">
        <is>
          <t>2026</t>
        </is>
      </c>
      <c r="H10" s="13" t="inlineStr">
        <is>
          <t>Classification on the import of 'PS MOULDING, PS WALL PANEL, PS L PROFILE, PS WALL PANEL SHEET, PVC</t>
        </is>
      </c>
      <c r="I10" s="13" t="inlineStr">
        <is>
          <t>Classification</t>
        </is>
      </c>
      <c r="J10" s="13" t="inlineStr">
        <is>
          <t>explicit</t>
        </is>
      </c>
      <c r="K10" s="13" t="inlineStr">
        <is>
          <t>CAAR/Del/Swift/05/2026-27</t>
        </is>
      </c>
      <c r="L10" s="14" t="inlineStr">
        <is>
          <t>https://www.cbic.gov.in/content/pdf/CONTENTREPO/CAAR/car-del-05-23042026.pdf</t>
        </is>
      </c>
      <c r="M10" s="13" t="inlineStr">
        <is>
          <t>YES</t>
        </is>
      </c>
    </row>
    <row r="11">
      <c r="A11" s="13" t="inlineStr">
        <is>
          <t>Delhi Rulings</t>
        </is>
      </c>
      <c r="B11" s="13" t="inlineStr">
        <is>
          <t>1</t>
        </is>
      </c>
      <c r="C11" s="13" t="inlineStr">
        <is>
          <t>7</t>
        </is>
      </c>
      <c r="D11" s="13" t="inlineStr">
        <is>
          <t>M/s Samsung India Electronics Private Limited</t>
        </is>
      </c>
      <c r="E11" s="13" t="inlineStr">
        <is>
          <t>17.11.2025</t>
        </is>
      </c>
      <c r="F11" s="13" t="inlineStr">
        <is>
          <t>20.04.2026</t>
        </is>
      </c>
      <c r="G11" s="13" t="inlineStr">
        <is>
          <t>2026</t>
        </is>
      </c>
      <c r="H11" s="13" t="inlineStr"/>
      <c r="I11" s="13" t="inlineStr">
        <is>
          <t>Unspecified</t>
        </is>
      </c>
      <c r="J11" s="13" t="inlineStr">
        <is>
          <t>low</t>
        </is>
      </c>
      <c r="K11" s="13" t="inlineStr">
        <is>
          <t>CAAR/Del/Samsung/03/2026</t>
        </is>
      </c>
      <c r="L11" s="13" t="inlineStr"/>
      <c r="M11" s="13" t="inlineStr">
        <is>
          <t>NO</t>
        </is>
      </c>
    </row>
    <row r="12">
      <c r="A12" s="13" t="inlineStr">
        <is>
          <t>Delhi Rulings</t>
        </is>
      </c>
      <c r="B12" s="13" t="inlineStr">
        <is>
          <t>1</t>
        </is>
      </c>
      <c r="C12" s="13" t="inlineStr">
        <is>
          <t>8</t>
        </is>
      </c>
      <c r="D12" s="13" t="inlineStr">
        <is>
          <t>M/s. Samsung India Electronics Pvt Ltd</t>
        </is>
      </c>
      <c r="E12" s="13" t="inlineStr">
        <is>
          <t>15.04.2026</t>
        </is>
      </c>
      <c r="F12" s="13" t="inlineStr">
        <is>
          <t>20.04.2026</t>
        </is>
      </c>
      <c r="G12" s="13" t="inlineStr">
        <is>
          <t>2026</t>
        </is>
      </c>
      <c r="H12" s="13" t="inlineStr"/>
      <c r="I12" s="13" t="inlineStr">
        <is>
          <t>Unspecified</t>
        </is>
      </c>
      <c r="J12" s="13" t="inlineStr">
        <is>
          <t>low</t>
        </is>
      </c>
      <c r="K12" s="13" t="inlineStr">
        <is>
          <t>CAAR/Del/Samsung/02/2026-27</t>
        </is>
      </c>
      <c r="L12" s="13" t="inlineStr"/>
      <c r="M12" s="13" t="inlineStr">
        <is>
          <t>NO</t>
        </is>
      </c>
    </row>
    <row r="13">
      <c r="A13" s="13" t="inlineStr">
        <is>
          <t>Delhi Rulings</t>
        </is>
      </c>
      <c r="B13" s="13" t="inlineStr">
        <is>
          <t>1</t>
        </is>
      </c>
      <c r="C13" s="13" t="inlineStr">
        <is>
          <t>9</t>
        </is>
      </c>
      <c r="D13" s="13" t="inlineStr">
        <is>
          <t>M/s Navitasys India Private Limited</t>
        </is>
      </c>
      <c r="E13" s="13" t="inlineStr">
        <is>
          <t>14.10.2025</t>
        </is>
      </c>
      <c r="F13" s="13" t="inlineStr">
        <is>
          <t>08.04.2026</t>
        </is>
      </c>
      <c r="G13" s="13" t="inlineStr">
        <is>
          <t>2026</t>
        </is>
      </c>
      <c r="H13" s="13" t="inlineStr">
        <is>
          <t>Classification of “46 different products under varioud HSN of the Schedule to the Customs Tariff Act</t>
        </is>
      </c>
      <c r="I13" s="13" t="inlineStr">
        <is>
          <t>Classification</t>
        </is>
      </c>
      <c r="J13" s="13" t="inlineStr">
        <is>
          <t>explicit</t>
        </is>
      </c>
      <c r="K13" s="13" t="inlineStr">
        <is>
          <t>CAAR/Del/Navitasys/01/2026</t>
        </is>
      </c>
      <c r="L13" s="14" t="inlineStr">
        <is>
          <t>https://www.cbic.gov.in/content/pdf/CONTENTREPO/CAAR/caar-delhi-rul-Navitasys-01-17042026.pdf</t>
        </is>
      </c>
      <c r="M13" s="13" t="inlineStr">
        <is>
          <t>YES</t>
        </is>
      </c>
    </row>
    <row r="14">
      <c r="A14" s="13" t="inlineStr">
        <is>
          <t>Delhi Rulings</t>
        </is>
      </c>
      <c r="B14" s="13" t="inlineStr">
        <is>
          <t>1</t>
        </is>
      </c>
      <c r="C14" s="13" t="inlineStr">
        <is>
          <t>10</t>
        </is>
      </c>
      <c r="D14" s="13" t="inlineStr">
        <is>
          <t>M/s Solterra Technologies Pvt Ltds</t>
        </is>
      </c>
      <c r="E14" s="13" t="inlineStr">
        <is>
          <t>09.12.2025</t>
        </is>
      </c>
      <c r="F14" s="13" t="inlineStr">
        <is>
          <t>08.04.2026</t>
        </is>
      </c>
      <c r="G14" s="13" t="inlineStr">
        <is>
          <t>2026</t>
        </is>
      </c>
      <c r="H14" s="13" t="inlineStr">
        <is>
          <t>Classification of "Electric Vehicle Communication controller" under 85176290 of the Schedule to the</t>
        </is>
      </c>
      <c r="I14" s="13" t="inlineStr">
        <is>
          <t>Classification</t>
        </is>
      </c>
      <c r="J14" s="13" t="inlineStr">
        <is>
          <t>explicit</t>
        </is>
      </c>
      <c r="K14" s="13" t="inlineStr">
        <is>
          <t>CAAR/Del/Solterra/01/2026</t>
        </is>
      </c>
      <c r="L14" s="14" t="inlineStr">
        <is>
          <t>https://www.cbic.gov.in/content/pdf/CONTENTREPO/CAAR/caar-del-solterra-01-15042026.pdf</t>
        </is>
      </c>
      <c r="M14" s="13" t="inlineStr">
        <is>
          <t>YES</t>
        </is>
      </c>
    </row>
    <row r="15">
      <c r="A15" s="13" t="inlineStr">
        <is>
          <t>Delhi Rulings</t>
        </is>
      </c>
      <c r="B15" s="13" t="inlineStr">
        <is>
          <t>2</t>
        </is>
      </c>
      <c r="C15" s="13" t="inlineStr">
        <is>
          <t>11</t>
        </is>
      </c>
      <c r="D15" s="13" t="inlineStr">
        <is>
          <t>M/s Kingshine Laminates Private Limited</t>
        </is>
      </c>
      <c r="E15" s="13" t="inlineStr">
        <is>
          <t>06.01.2026</t>
        </is>
      </c>
      <c r="F15" s="13" t="inlineStr">
        <is>
          <t>12.02.2026</t>
        </is>
      </c>
      <c r="G15" s="13" t="inlineStr">
        <is>
          <t>2026</t>
        </is>
      </c>
      <c r="H15" s="13" t="inlineStr">
        <is>
          <t>Classification of PS MOULDING, PS WALL PANEL, PS L PROFILE, PS WALL PANEL SHEET, PVC PANEL FOAM, PVC</t>
        </is>
      </c>
      <c r="I15" s="13" t="inlineStr">
        <is>
          <t>Classification</t>
        </is>
      </c>
      <c r="J15" s="13" t="inlineStr">
        <is>
          <t>explicit</t>
        </is>
      </c>
      <c r="K15" s="13" t="inlineStr">
        <is>
          <t>CAAR/Del/Kingshine/132/2025-26</t>
        </is>
      </c>
      <c r="L15" s="14" t="inlineStr">
        <is>
          <t>https://www.cbic.gov.in/content/pdf/CONTENTREPO/CAAR/caar-del-132-01042026.pdf</t>
        </is>
      </c>
      <c r="M15" s="13" t="inlineStr">
        <is>
          <t>YES</t>
        </is>
      </c>
    </row>
    <row r="16">
      <c r="A16" s="13" t="inlineStr">
        <is>
          <t>Delhi Rulings</t>
        </is>
      </c>
      <c r="B16" s="13" t="inlineStr">
        <is>
          <t>2</t>
        </is>
      </c>
      <c r="C16" s="13" t="inlineStr">
        <is>
          <t>12</t>
        </is>
      </c>
      <c r="D16" s="13" t="inlineStr">
        <is>
          <t>M/s Vivo Mobile India Private Limited</t>
        </is>
      </c>
      <c r="E16" s="13" t="inlineStr">
        <is>
          <t>16.12.2025</t>
        </is>
      </c>
      <c r="F16" s="13" t="inlineStr">
        <is>
          <t>30.03.2026</t>
        </is>
      </c>
      <c r="G16" s="13" t="inlineStr">
        <is>
          <t>2026</t>
        </is>
      </c>
      <c r="H16" s="13" t="inlineStr">
        <is>
          <t>Classification of parts for manufacturing of cellular mobile phones and Printed Circuit Board Assemb</t>
        </is>
      </c>
      <c r="I16" s="13" t="inlineStr">
        <is>
          <t>Classification</t>
        </is>
      </c>
      <c r="J16" s="13" t="inlineStr">
        <is>
          <t>explicit</t>
        </is>
      </c>
      <c r="K16" s="13" t="inlineStr">
        <is>
          <t>CAAR/Del/Vivo/140/2025-26</t>
        </is>
      </c>
      <c r="L16" s="14" t="inlineStr">
        <is>
          <t>https://www.cbic.gov.in/content/pdf/CONTENTREPO/CAAR/caar-del-140-30032026.pdf</t>
        </is>
      </c>
      <c r="M16" s="13" t="inlineStr">
        <is>
          <t>YES</t>
        </is>
      </c>
    </row>
    <row r="17">
      <c r="A17" s="13" t="inlineStr">
        <is>
          <t>Delhi Rulings</t>
        </is>
      </c>
      <c r="B17" s="13" t="inlineStr">
        <is>
          <t>2</t>
        </is>
      </c>
      <c r="C17" s="13" t="inlineStr">
        <is>
          <t>13</t>
        </is>
      </c>
      <c r="D17" s="13" t="inlineStr">
        <is>
          <t>M/s Samsung India Electronics Private Limited</t>
        </is>
      </c>
      <c r="E17" s="13" t="inlineStr">
        <is>
          <t>17.11.2025</t>
        </is>
      </c>
      <c r="F17" s="13" t="inlineStr">
        <is>
          <t>02.03.2026</t>
        </is>
      </c>
      <c r="G17" s="13" t="inlineStr">
        <is>
          <t>2026</t>
        </is>
      </c>
      <c r="H17" s="13" t="inlineStr">
        <is>
          <t>Classification of Side key FPCB for use in manufacture of smartphone</t>
        </is>
      </c>
      <c r="I17" s="13" t="inlineStr">
        <is>
          <t>Classification</t>
        </is>
      </c>
      <c r="J17" s="13" t="inlineStr">
        <is>
          <t>explicit</t>
        </is>
      </c>
      <c r="K17" s="13" t="inlineStr">
        <is>
          <t>CAAR/Del/Samsung/137/2026</t>
        </is>
      </c>
      <c r="L17" s="13" t="inlineStr"/>
      <c r="M17" s="13" t="inlineStr">
        <is>
          <t>NO</t>
        </is>
      </c>
    </row>
    <row r="18">
      <c r="A18" s="13" t="inlineStr">
        <is>
          <t>Delhi Rulings</t>
        </is>
      </c>
      <c r="B18" s="13" t="inlineStr">
        <is>
          <t>2</t>
        </is>
      </c>
      <c r="C18" s="13" t="inlineStr">
        <is>
          <t>14</t>
        </is>
      </c>
      <c r="D18" s="13" t="inlineStr">
        <is>
          <t>M/s Vivo Mobile India Private Limited</t>
        </is>
      </c>
      <c r="E18" s="13" t="inlineStr">
        <is>
          <t>30.07.2025</t>
        </is>
      </c>
      <c r="F18" s="13" t="inlineStr">
        <is>
          <t>16.02.2026</t>
        </is>
      </c>
      <c r="G18" s="13" t="inlineStr">
        <is>
          <t>2026</t>
        </is>
      </c>
      <c r="H18" s="13" t="inlineStr">
        <is>
          <t>Classification of Display Assembly</t>
        </is>
      </c>
      <c r="I18" s="13" t="inlineStr">
        <is>
          <t>Classification</t>
        </is>
      </c>
      <c r="J18" s="13" t="inlineStr">
        <is>
          <t>explicit</t>
        </is>
      </c>
      <c r="K18" s="13" t="inlineStr">
        <is>
          <t>CAAR/Del/Vivo/133/2026</t>
        </is>
      </c>
      <c r="L18" s="14" t="inlineStr">
        <is>
          <t>https://www.cbic.gov.in/content/pdf/CONTENTREPO/CAAR/caar-del-133-24032026.pdf</t>
        </is>
      </c>
      <c r="M18" s="13" t="inlineStr">
        <is>
          <t>YES</t>
        </is>
      </c>
    </row>
    <row r="19">
      <c r="A19" s="13" t="inlineStr">
        <is>
          <t>Delhi Rulings</t>
        </is>
      </c>
      <c r="B19" s="13" t="inlineStr">
        <is>
          <t>2</t>
        </is>
      </c>
      <c r="C19" s="13" t="inlineStr">
        <is>
          <t>15</t>
        </is>
      </c>
      <c r="D19" s="13" t="inlineStr">
        <is>
          <t>M/s Volvo Auto India Private Limited</t>
        </is>
      </c>
      <c r="E19" s="13" t="inlineStr">
        <is>
          <t>16.12.2025</t>
        </is>
      </c>
      <c r="F19" s="13" t="inlineStr">
        <is>
          <t>17.02.2026</t>
        </is>
      </c>
      <c r="G19" s="13" t="inlineStr">
        <is>
          <t>2026</t>
        </is>
      </c>
      <c r="H19" s="13" t="inlineStr"/>
      <c r="I19" s="13" t="inlineStr">
        <is>
          <t>Unspecified</t>
        </is>
      </c>
      <c r="J19" s="13" t="inlineStr">
        <is>
          <t>low</t>
        </is>
      </c>
      <c r="K19" s="13" t="inlineStr">
        <is>
          <t>CAAR/Del/Volvo/135/2025-26</t>
        </is>
      </c>
      <c r="L19" s="13" t="inlineStr"/>
      <c r="M19" s="13" t="inlineStr">
        <is>
          <t>NO</t>
        </is>
      </c>
    </row>
    <row r="20">
      <c r="A20" s="13" t="inlineStr">
        <is>
          <t>Delhi Rulings</t>
        </is>
      </c>
      <c r="B20" s="13" t="inlineStr">
        <is>
          <t>2</t>
        </is>
      </c>
      <c r="C20" s="13" t="inlineStr">
        <is>
          <t>16</t>
        </is>
      </c>
      <c r="D20" s="13" t="inlineStr">
        <is>
          <t>M/s Samsung Display Noida Pvt Ltd</t>
        </is>
      </c>
      <c r="E20" s="13" t="inlineStr">
        <is>
          <t>03.12.2025</t>
        </is>
      </c>
      <c r="F20" s="13" t="inlineStr">
        <is>
          <t>31.01.2026</t>
        </is>
      </c>
      <c r="G20" s="13" t="inlineStr">
        <is>
          <t>2026</t>
        </is>
      </c>
      <c r="H20" s="13" t="inlineStr">
        <is>
          <t>Classification of LAMI Panel Loader and Unloader’</t>
        </is>
      </c>
      <c r="I20" s="13" t="inlineStr">
        <is>
          <t>Classification</t>
        </is>
      </c>
      <c r="J20" s="13" t="inlineStr">
        <is>
          <t>explicit</t>
        </is>
      </c>
      <c r="K20" s="13" t="inlineStr">
        <is>
          <t>CAAR/Del/Samsung/126/2025-26</t>
        </is>
      </c>
      <c r="L20" s="13" t="inlineStr"/>
      <c r="M20" s="13" t="inlineStr">
        <is>
          <t>NO</t>
        </is>
      </c>
    </row>
    <row r="21">
      <c r="A21" s="13" t="inlineStr">
        <is>
          <t>Delhi Rulings</t>
        </is>
      </c>
      <c r="B21" s="13" t="inlineStr">
        <is>
          <t>2</t>
        </is>
      </c>
      <c r="C21" s="13" t="inlineStr">
        <is>
          <t>17</t>
        </is>
      </c>
      <c r="D21" s="13" t="inlineStr">
        <is>
          <t>M/s Danisco India Private Limted</t>
        </is>
      </c>
      <c r="E21" s="13" t="inlineStr">
        <is>
          <t>10.02.2025</t>
        </is>
      </c>
      <c r="F21" s="13" t="inlineStr">
        <is>
          <t>30.12.2025</t>
        </is>
      </c>
      <c r="G21" s="13" t="inlineStr">
        <is>
          <t>2025</t>
        </is>
      </c>
      <c r="H21" s="13" t="inlineStr">
        <is>
          <t>Sharp PS</t>
        </is>
      </c>
      <c r="I21" s="13" t="inlineStr">
        <is>
          <t>Classification</t>
        </is>
      </c>
      <c r="J21" s="13" t="inlineStr">
        <is>
          <t>inferred</t>
        </is>
      </c>
      <c r="K21" s="13" t="inlineStr">
        <is>
          <t>Corrigendum</t>
        </is>
      </c>
      <c r="L21" s="14" t="inlineStr">
        <is>
          <t>https://www.cbic.gov.in/content/pdf/CONTENTREPO/CAAR/caar-delhi-rul-corri-03022026.pdf</t>
        </is>
      </c>
      <c r="M21" s="13" t="inlineStr">
        <is>
          <t>YES</t>
        </is>
      </c>
    </row>
    <row r="22">
      <c r="A22" s="13" t="inlineStr">
        <is>
          <t>Delhi Rulings</t>
        </is>
      </c>
      <c r="B22" s="13" t="inlineStr">
        <is>
          <t>2</t>
        </is>
      </c>
      <c r="C22" s="13" t="inlineStr">
        <is>
          <t>18</t>
        </is>
      </c>
      <c r="D22" s="13" t="inlineStr">
        <is>
          <t>M/s Danisco India Private Limted</t>
        </is>
      </c>
      <c r="E22" s="13" t="inlineStr">
        <is>
          <t>10.02.2025</t>
        </is>
      </c>
      <c r="F22" s="13" t="inlineStr">
        <is>
          <t>30.12.2025</t>
        </is>
      </c>
      <c r="G22" s="13" t="inlineStr">
        <is>
          <t>2025</t>
        </is>
      </c>
      <c r="H22" s="13" t="inlineStr">
        <is>
          <t>Sharp PS</t>
        </is>
      </c>
      <c r="I22" s="13" t="inlineStr">
        <is>
          <t>Classification</t>
        </is>
      </c>
      <c r="J22" s="13" t="inlineStr">
        <is>
          <t>inferred</t>
        </is>
      </c>
      <c r="K22" s="13" t="inlineStr">
        <is>
          <t>CAAR/Del/Danisco/111/2025</t>
        </is>
      </c>
      <c r="L22" s="14" t="inlineStr">
        <is>
          <t>https://www.cbic.gov.in/content/pdf/CONTENTREPO/CAAR/caar-delhi-rul-111-03022026.pdf</t>
        </is>
      </c>
      <c r="M22" s="13" t="inlineStr">
        <is>
          <t>YES</t>
        </is>
      </c>
    </row>
    <row r="23">
      <c r="A23" s="13" t="inlineStr">
        <is>
          <t>Delhi Rulings</t>
        </is>
      </c>
      <c r="B23" s="13" t="inlineStr">
        <is>
          <t>2</t>
        </is>
      </c>
      <c r="C23" s="13" t="inlineStr">
        <is>
          <t>19</t>
        </is>
      </c>
      <c r="D23" s="13" t="inlineStr">
        <is>
          <t>M/s VinFast Auto India Private Limited</t>
        </is>
      </c>
      <c r="E23" s="13" t="inlineStr">
        <is>
          <t>12.08.2025</t>
        </is>
      </c>
      <c r="F23" s="13" t="inlineStr">
        <is>
          <t>31.01.2026</t>
        </is>
      </c>
      <c r="G23" s="13" t="inlineStr">
        <is>
          <t>2026</t>
        </is>
      </c>
      <c r="H23" s="13" t="inlineStr">
        <is>
          <t>Import of Various Items for manufacture of EVs</t>
        </is>
      </c>
      <c r="I23" s="13" t="inlineStr">
        <is>
          <t>Classification</t>
        </is>
      </c>
      <c r="J23" s="13" t="inlineStr">
        <is>
          <t>inferred</t>
        </is>
      </c>
      <c r="K23" s="13" t="inlineStr">
        <is>
          <t>CAAR/Del/VinFast/131/2025-26</t>
        </is>
      </c>
      <c r="L23" s="14" t="inlineStr">
        <is>
          <t>https://www.cbic.gov.in/content/pdf/CONTENTREPO/CAAR/caar-del-131-03022026.pdf</t>
        </is>
      </c>
      <c r="M23" s="13" t="inlineStr">
        <is>
          <t>YES</t>
        </is>
      </c>
    </row>
    <row r="24">
      <c r="A24" s="13" t="inlineStr">
        <is>
          <t>Delhi Rulings</t>
        </is>
      </c>
      <c r="B24" s="13" t="inlineStr">
        <is>
          <t>2</t>
        </is>
      </c>
      <c r="C24" s="13" t="inlineStr">
        <is>
          <t>20</t>
        </is>
      </c>
      <c r="D24" s="13" t="inlineStr">
        <is>
          <t>M/s Shri Balaji Multi Designs Private Limited</t>
        </is>
      </c>
      <c r="E24" s="13" t="inlineStr">
        <is>
          <t>06.01.2025</t>
        </is>
      </c>
      <c r="F24" s="13" t="inlineStr">
        <is>
          <t>31.01.2026</t>
        </is>
      </c>
      <c r="G24" s="13" t="inlineStr">
        <is>
          <t>2026</t>
        </is>
      </c>
      <c r="H24" s="13" t="inlineStr">
        <is>
          <t>PVC Items</t>
        </is>
      </c>
      <c r="I24" s="13" t="inlineStr">
        <is>
          <t>Classification</t>
        </is>
      </c>
      <c r="J24" s="13" t="inlineStr">
        <is>
          <t>inferred</t>
        </is>
      </c>
      <c r="K24" s="13" t="inlineStr">
        <is>
          <t>CAAR/Del/Sri Balaji/130/2025-26</t>
        </is>
      </c>
      <c r="L24" s="14" t="inlineStr">
        <is>
          <t>https://www.cbic.gov.in/content/pdf/CONTENTREPO/CAAR/caar-del-130-03022026.pdf</t>
        </is>
      </c>
      <c r="M24" s="13" t="inlineStr">
        <is>
          <t>YES</t>
        </is>
      </c>
    </row>
    <row r="25">
      <c r="A25" s="13" t="inlineStr">
        <is>
          <t>Delhi Rulings</t>
        </is>
      </c>
      <c r="B25" s="13" t="inlineStr">
        <is>
          <t>3</t>
        </is>
      </c>
      <c r="C25" s="13" t="inlineStr">
        <is>
          <t>21</t>
        </is>
      </c>
      <c r="D25" s="13" t="inlineStr">
        <is>
          <t>M/s SP Traders</t>
        </is>
      </c>
      <c r="E25" s="13" t="inlineStr">
        <is>
          <t>22.12.2025</t>
        </is>
      </c>
      <c r="F25" s="13" t="inlineStr">
        <is>
          <t>31.01.2026</t>
        </is>
      </c>
      <c r="G25" s="13" t="inlineStr">
        <is>
          <t>2026</t>
        </is>
      </c>
      <c r="H25" s="13" t="inlineStr">
        <is>
          <t>PVC Items</t>
        </is>
      </c>
      <c r="I25" s="13" t="inlineStr">
        <is>
          <t>Classification</t>
        </is>
      </c>
      <c r="J25" s="13" t="inlineStr">
        <is>
          <t>inferred</t>
        </is>
      </c>
      <c r="K25" s="13" t="inlineStr">
        <is>
          <t>CAAR/Del/SP Traders/128/2025-26</t>
        </is>
      </c>
      <c r="L25" s="14" t="inlineStr">
        <is>
          <t>https://www.cbic.gov.in/content/pdf/CONTENTREPO/CAAR/caar-del-128-03022026.pdf</t>
        </is>
      </c>
      <c r="M25" s="13" t="inlineStr">
        <is>
          <t>YES</t>
        </is>
      </c>
    </row>
    <row r="26">
      <c r="A26" s="13" t="inlineStr">
        <is>
          <t>Delhi Rulings</t>
        </is>
      </c>
      <c r="B26" s="13" t="inlineStr">
        <is>
          <t>3</t>
        </is>
      </c>
      <c r="C26" s="13" t="inlineStr">
        <is>
          <t>22</t>
        </is>
      </c>
      <c r="D26" s="13" t="inlineStr">
        <is>
          <t>M/s Shloka Valves (P) Ltd</t>
        </is>
      </c>
      <c r="E26" s="13" t="inlineStr">
        <is>
          <t>23.10.2025</t>
        </is>
      </c>
      <c r="F26" s="13" t="inlineStr">
        <is>
          <t>31.01.2026</t>
        </is>
      </c>
      <c r="G26" s="13" t="inlineStr">
        <is>
          <t>2026</t>
        </is>
      </c>
      <c r="H26" s="13" t="inlineStr">
        <is>
          <t>Brass Rods​</t>
        </is>
      </c>
      <c r="I26" s="13" t="inlineStr">
        <is>
          <t>Classification</t>
        </is>
      </c>
      <c r="J26" s="13" t="inlineStr">
        <is>
          <t>inferred</t>
        </is>
      </c>
      <c r="K26" s="13" t="inlineStr">
        <is>
          <t>CAAR /Del/Shloka/127/2025-26</t>
        </is>
      </c>
      <c r="L26" s="14" t="inlineStr">
        <is>
          <t>https://www.cbic.gov.in/content/pdf/CONTENTREPO/CAAR/caar-del-127-03022026.pdf</t>
        </is>
      </c>
      <c r="M26" s="13" t="inlineStr">
        <is>
          <t>YES</t>
        </is>
      </c>
    </row>
    <row r="27">
      <c r="A27" s="13" t="inlineStr">
        <is>
          <t>Delhi Rulings</t>
        </is>
      </c>
      <c r="B27" s="13" t="inlineStr">
        <is>
          <t>3</t>
        </is>
      </c>
      <c r="C27" s="13" t="inlineStr">
        <is>
          <t>23</t>
        </is>
      </c>
      <c r="D27" s="13" t="inlineStr">
        <is>
          <t>M/s Pooja Rice Industries</t>
        </is>
      </c>
      <c r="E27" s="13" t="inlineStr">
        <is>
          <t>24.12.2025</t>
        </is>
      </c>
      <c r="F27" s="13" t="inlineStr">
        <is>
          <t>30.01.2026</t>
        </is>
      </c>
      <c r="G27" s="13" t="inlineStr">
        <is>
          <t>2026</t>
        </is>
      </c>
      <c r="H27" s="13" t="inlineStr">
        <is>
          <t>The product under consideration i.e PVC Panel is classifiable under tariff entry 3921 or not</t>
        </is>
      </c>
      <c r="I27" s="13" t="inlineStr">
        <is>
          <t>Classification</t>
        </is>
      </c>
      <c r="J27" s="13" t="inlineStr">
        <is>
          <t>explicit</t>
        </is>
      </c>
      <c r="K27" s="13" t="inlineStr">
        <is>
          <t>CAAR/Del/Pooja Rice/125/2025-26</t>
        </is>
      </c>
      <c r="L27" s="14" t="inlineStr">
        <is>
          <t>https://www.cbic.gov.in/content/pdf/CONTENTREPO/CAAR/car-del-125-02022026.pdf</t>
        </is>
      </c>
      <c r="M27" s="13" t="inlineStr">
        <is>
          <t>YES</t>
        </is>
      </c>
    </row>
    <row r="28">
      <c r="A28" s="13" t="inlineStr">
        <is>
          <t>Delhi Rulings</t>
        </is>
      </c>
      <c r="B28" s="13" t="inlineStr">
        <is>
          <t>3</t>
        </is>
      </c>
      <c r="C28" s="13" t="inlineStr">
        <is>
          <t>24</t>
        </is>
      </c>
      <c r="D28" s="13" t="inlineStr">
        <is>
          <t>M/s Lords Interior Private Limited</t>
        </is>
      </c>
      <c r="E28" s="13" t="inlineStr">
        <is>
          <t>16.12.2025</t>
        </is>
      </c>
      <c r="F28" s="13" t="inlineStr">
        <is>
          <t>31.01.2026</t>
        </is>
      </c>
      <c r="G28" s="13" t="inlineStr">
        <is>
          <t>2026</t>
        </is>
      </c>
      <c r="H28" s="13" t="inlineStr">
        <is>
          <t>The product under consideration i.e PVC Panel is classifiable under tariff entry 3921 or not</t>
        </is>
      </c>
      <c r="I28" s="13" t="inlineStr">
        <is>
          <t>Classification</t>
        </is>
      </c>
      <c r="J28" s="13" t="inlineStr">
        <is>
          <t>explicit</t>
        </is>
      </c>
      <c r="K28" s="13" t="inlineStr">
        <is>
          <t>CAAR/Del/Lords/122/2025-26</t>
        </is>
      </c>
      <c r="L28" s="14" t="inlineStr">
        <is>
          <t>https://www.cbic.gov.in/content/pdf/CONTENTREPO/CAAR/car-del-122-02022026.pdf</t>
        </is>
      </c>
      <c r="M28" s="13" t="inlineStr">
        <is>
          <t>YES</t>
        </is>
      </c>
    </row>
    <row r="29">
      <c r="A29" s="13" t="inlineStr">
        <is>
          <t>Delhi Rulings</t>
        </is>
      </c>
      <c r="B29" s="13" t="inlineStr">
        <is>
          <t>3</t>
        </is>
      </c>
      <c r="C29" s="13" t="inlineStr">
        <is>
          <t>25</t>
        </is>
      </c>
      <c r="D29" s="13" t="inlineStr">
        <is>
          <t>M/s. Samsung Display Noida Private Limited</t>
        </is>
      </c>
      <c r="E29" s="13" t="inlineStr">
        <is>
          <t>17.10.2025</t>
        </is>
      </c>
      <c r="F29" s="13" t="inlineStr">
        <is>
          <t>21.01.2026</t>
        </is>
      </c>
      <c r="G29" s="13" t="inlineStr">
        <is>
          <t>2026</t>
        </is>
      </c>
      <c r="H29" s="13" t="inlineStr">
        <is>
          <t>Window Glass</t>
        </is>
      </c>
      <c r="I29" s="13" t="inlineStr">
        <is>
          <t>Classification</t>
        </is>
      </c>
      <c r="J29" s="13" t="inlineStr">
        <is>
          <t>inferred</t>
        </is>
      </c>
      <c r="K29" s="13" t="inlineStr">
        <is>
          <t>CAAR/Del/Samsung/123/2025-26</t>
        </is>
      </c>
      <c r="L29" s="14" t="inlineStr">
        <is>
          <t>https://www.cbic.gov.in/content/pdf/CONTENTREPO/CAAR/caar-delhi-rul-123-21012026.pdf</t>
        </is>
      </c>
      <c r="M29" s="13" t="inlineStr">
        <is>
          <t>YES</t>
        </is>
      </c>
    </row>
    <row r="30">
      <c r="A30" s="13" t="inlineStr">
        <is>
          <t>Delhi Rulings</t>
        </is>
      </c>
      <c r="B30" s="13" t="inlineStr">
        <is>
          <t>3</t>
        </is>
      </c>
      <c r="C30" s="13" t="inlineStr">
        <is>
          <t>26</t>
        </is>
      </c>
      <c r="D30" s="13" t="inlineStr">
        <is>
          <t>M/s Sacred Nuts Private Ltd</t>
        </is>
      </c>
      <c r="E30" s="13" t="inlineStr">
        <is>
          <t>16.07.2025</t>
        </is>
      </c>
      <c r="F30" s="13" t="inlineStr">
        <is>
          <t>15.01.2026</t>
        </is>
      </c>
      <c r="G30" s="13" t="inlineStr">
        <is>
          <t>2026</t>
        </is>
      </c>
      <c r="H30" s="13" t="inlineStr">
        <is>
          <t>Dark Seedles Raisin</t>
        </is>
      </c>
      <c r="I30" s="13" t="inlineStr">
        <is>
          <t>Classification</t>
        </is>
      </c>
      <c r="J30" s="13" t="inlineStr">
        <is>
          <t>inferred</t>
        </is>
      </c>
      <c r="K30" s="13" t="inlineStr">
        <is>
          <t>CAAR/Del/SacredNuts/121/2025-26</t>
        </is>
      </c>
      <c r="L30" s="14" t="inlineStr">
        <is>
          <t>https://www.cbic.gov.in/content/pdf/CONTENTREPO/CAAR/caar-del-order-121-16012026.pdf</t>
        </is>
      </c>
      <c r="M30" s="13" t="inlineStr">
        <is>
          <t>YES</t>
        </is>
      </c>
    </row>
    <row r="31">
      <c r="A31" s="13" t="inlineStr">
        <is>
          <t>Delhi Rulings</t>
        </is>
      </c>
      <c r="B31" s="13" t="inlineStr">
        <is>
          <t>3</t>
        </is>
      </c>
      <c r="C31" s="13" t="inlineStr">
        <is>
          <t>27</t>
        </is>
      </c>
      <c r="D31" s="13" t="inlineStr">
        <is>
          <t>M/s V. G. Enterprises</t>
        </is>
      </c>
      <c r="E31" s="13" t="inlineStr">
        <is>
          <t>27.10.2025</t>
        </is>
      </c>
      <c r="F31" s="13" t="inlineStr">
        <is>
          <t>15.01.2026</t>
        </is>
      </c>
      <c r="G31" s="13" t="inlineStr">
        <is>
          <t>2026</t>
        </is>
      </c>
      <c r="H31" s="13" t="inlineStr"/>
      <c r="I31" s="13" t="inlineStr">
        <is>
          <t>Unspecified</t>
        </is>
      </c>
      <c r="J31" s="13" t="inlineStr">
        <is>
          <t>low</t>
        </is>
      </c>
      <c r="K31" s="13" t="inlineStr">
        <is>
          <t>CAAR/Del/V.G./117-120/2025-26</t>
        </is>
      </c>
      <c r="L31" s="13" t="inlineStr"/>
      <c r="M31" s="13" t="inlineStr">
        <is>
          <t>NO</t>
        </is>
      </c>
    </row>
    <row r="32">
      <c r="A32" s="13" t="inlineStr">
        <is>
          <t>Delhi Rulings</t>
        </is>
      </c>
      <c r="B32" s="13" t="inlineStr">
        <is>
          <t>3</t>
        </is>
      </c>
      <c r="C32" s="13" t="inlineStr">
        <is>
          <t>28</t>
        </is>
      </c>
      <c r="D32" s="13" t="inlineStr">
        <is>
          <t>M/s Danisco India Pvt Ltd.</t>
        </is>
      </c>
      <c r="E32" s="13" t="inlineStr">
        <is>
          <t>10.07.2025</t>
        </is>
      </c>
      <c r="F32" s="13" t="inlineStr">
        <is>
          <t>16.12.2025</t>
        </is>
      </c>
      <c r="G32" s="13" t="inlineStr">
        <is>
          <t>2025</t>
        </is>
      </c>
      <c r="H32" s="13" t="inlineStr">
        <is>
          <t>Danisco Phytase</t>
        </is>
      </c>
      <c r="I32" s="13" t="inlineStr">
        <is>
          <t>Classification</t>
        </is>
      </c>
      <c r="J32" s="13" t="inlineStr">
        <is>
          <t>inferred</t>
        </is>
      </c>
      <c r="K32" s="13" t="inlineStr">
        <is>
          <t>CAAR/Del/Danisco/104/2025</t>
        </is>
      </c>
      <c r="L32" s="14" t="inlineStr">
        <is>
          <t>https://www.cbic.gov.in/content/pdf/CONTENTREPO/CAAR/car-del-104-09012026.pdf</t>
        </is>
      </c>
      <c r="M32" s="13" t="inlineStr">
        <is>
          <t>YES</t>
        </is>
      </c>
    </row>
    <row r="33">
      <c r="A33" s="13" t="inlineStr">
        <is>
          <t>Delhi Rulings</t>
        </is>
      </c>
      <c r="B33" s="13" t="inlineStr">
        <is>
          <t>3</t>
        </is>
      </c>
      <c r="C33" s="13" t="inlineStr">
        <is>
          <t>29</t>
        </is>
      </c>
      <c r="D33" s="13" t="inlineStr">
        <is>
          <t>M/s Danisco India Pvt Ltd.</t>
        </is>
      </c>
      <c r="E33" s="13" t="inlineStr">
        <is>
          <t>15.05.2025</t>
        </is>
      </c>
      <c r="F33" s="13" t="inlineStr">
        <is>
          <t>19.11.2025</t>
        </is>
      </c>
      <c r="G33" s="13" t="inlineStr">
        <is>
          <t>2025</t>
        </is>
      </c>
      <c r="H33" s="13" t="inlineStr">
        <is>
          <t>Linum Life®</t>
        </is>
      </c>
      <c r="I33" s="13" t="inlineStr">
        <is>
          <t>Classification</t>
        </is>
      </c>
      <c r="J33" s="13" t="inlineStr">
        <is>
          <t>inferred</t>
        </is>
      </c>
      <c r="K33" s="13" t="inlineStr">
        <is>
          <t>CAAR/Del/Danisco/93/2025</t>
        </is>
      </c>
      <c r="L33" s="14" t="inlineStr">
        <is>
          <t>https://www.cbic.gov.in/content/pdf/CONTENTREPO/CAAR/car-del-93-09012026.pdf</t>
        </is>
      </c>
      <c r="M33" s="13" t="inlineStr">
        <is>
          <t>YES</t>
        </is>
      </c>
    </row>
    <row r="34">
      <c r="A34" s="13" t="inlineStr">
        <is>
          <t>Delhi Rulings</t>
        </is>
      </c>
      <c r="B34" s="13" t="inlineStr">
        <is>
          <t>3</t>
        </is>
      </c>
      <c r="C34" s="13" t="inlineStr">
        <is>
          <t>30</t>
        </is>
      </c>
      <c r="D34" s="13" t="inlineStr">
        <is>
          <t>M/s Danisco India Pvt Ltd.</t>
        </is>
      </c>
      <c r="E34" s="13" t="inlineStr">
        <is>
          <t>15.05.2025</t>
        </is>
      </c>
      <c r="F34" s="13" t="inlineStr">
        <is>
          <t>18.11.2025</t>
        </is>
      </c>
      <c r="G34" s="13" t="inlineStr">
        <is>
          <t>2025</t>
        </is>
      </c>
      <c r="H34" s="13" t="inlineStr">
        <is>
          <t>AB Fortis</t>
        </is>
      </c>
      <c r="I34" s="13" t="inlineStr">
        <is>
          <t>Classification</t>
        </is>
      </c>
      <c r="J34" s="13" t="inlineStr">
        <is>
          <t>inferred</t>
        </is>
      </c>
      <c r="K34" s="13" t="inlineStr">
        <is>
          <t>CAAR/Del/Danisco/92/2025</t>
        </is>
      </c>
      <c r="L34" s="14" t="inlineStr">
        <is>
          <t>https://www.cbic.gov.in/content/pdf/CONTENTREPO/CAAR/car-del-92-09012026.pdf</t>
        </is>
      </c>
      <c r="M34" s="13" t="inlineStr">
        <is>
          <t>YES</t>
        </is>
      </c>
    </row>
    <row r="35">
      <c r="A35" s="13" t="inlineStr">
        <is>
          <t>Delhi Rulings</t>
        </is>
      </c>
      <c r="B35" s="13" t="inlineStr">
        <is>
          <t>4</t>
        </is>
      </c>
      <c r="C35" s="13" t="inlineStr">
        <is>
          <t>31</t>
        </is>
      </c>
      <c r="D35" s="13" t="inlineStr">
        <is>
          <t>M/s Furo Enterprises</t>
        </is>
      </c>
      <c r="E35" s="13" t="inlineStr">
        <is>
          <t>20.06.2025</t>
        </is>
      </c>
      <c r="F35" s="13" t="inlineStr">
        <is>
          <t>04.11.2025</t>
        </is>
      </c>
      <c r="G35" s="13" t="inlineStr">
        <is>
          <t>2025</t>
        </is>
      </c>
      <c r="H35" s="13" t="inlineStr">
        <is>
          <t>Girl's Slip</t>
        </is>
      </c>
      <c r="I35" s="13" t="inlineStr">
        <is>
          <t>Classification</t>
        </is>
      </c>
      <c r="J35" s="13" t="inlineStr">
        <is>
          <t>inferred</t>
        </is>
      </c>
      <c r="K35" s="13" t="inlineStr">
        <is>
          <t>CAAR/Del/Furo/89/2025</t>
        </is>
      </c>
      <c r="L35" s="14" t="inlineStr">
        <is>
          <t>https://www.cbic.gov.in/content/pdf/CONTENTREPO/CAAR/car-del-89-09012026.pdf</t>
        </is>
      </c>
      <c r="M35" s="13" t="inlineStr">
        <is>
          <t>YES</t>
        </is>
      </c>
    </row>
    <row r="36">
      <c r="A36" s="13" t="inlineStr">
        <is>
          <t>Delhi Rulings</t>
        </is>
      </c>
      <c r="B36" s="13" t="inlineStr">
        <is>
          <t>4</t>
        </is>
      </c>
      <c r="C36" s="13" t="inlineStr">
        <is>
          <t>32</t>
        </is>
      </c>
      <c r="D36" s="13" t="inlineStr">
        <is>
          <t>M/s Honeywell International (India) Pvt. Ltd.</t>
        </is>
      </c>
      <c r="E36" s="13" t="inlineStr">
        <is>
          <t>02.05.2025</t>
        </is>
      </c>
      <c r="F36" s="13" t="inlineStr">
        <is>
          <t>16.10.2025</t>
        </is>
      </c>
      <c r="G36" s="13" t="inlineStr">
        <is>
          <t>2025</t>
        </is>
      </c>
      <c r="H36" s="13" t="inlineStr">
        <is>
          <t>Mobile Computers, Tablet Computers, Wearable Computers and Vehicle-Mounted Computers</t>
        </is>
      </c>
      <c r="I36" s="13" t="inlineStr">
        <is>
          <t>Classification</t>
        </is>
      </c>
      <c r="J36" s="13" t="inlineStr">
        <is>
          <t>inferred</t>
        </is>
      </c>
      <c r="K36" s="13" t="inlineStr">
        <is>
          <t>CAAR/Del/Honeywell/76/2025</t>
        </is>
      </c>
      <c r="L36" s="14" t="inlineStr">
        <is>
          <t>https://www.cbic.gov.in/content/pdf/CONTENTREPO/CAAR/car-del-76-09012026.pdf</t>
        </is>
      </c>
      <c r="M36" s="13" t="inlineStr">
        <is>
          <t>YES</t>
        </is>
      </c>
    </row>
    <row r="37">
      <c r="A37" s="13" t="inlineStr">
        <is>
          <t>Delhi Rulings</t>
        </is>
      </c>
      <c r="B37" s="13" t="inlineStr">
        <is>
          <t>4</t>
        </is>
      </c>
      <c r="C37" s="13" t="inlineStr">
        <is>
          <t>33</t>
        </is>
      </c>
      <c r="D37" s="13" t="inlineStr">
        <is>
          <t>M/s Mitsubishi Electric India Private Limited</t>
        </is>
      </c>
      <c r="E37" s="13" t="inlineStr">
        <is>
          <t>11.09.2025</t>
        </is>
      </c>
      <c r="F37" s="13" t="inlineStr">
        <is>
          <t>01.01.2026</t>
        </is>
      </c>
      <c r="G37" s="13" t="inlineStr">
        <is>
          <t>2026</t>
        </is>
      </c>
      <c r="H37" s="13" t="inlineStr">
        <is>
          <t>The parts of Air conditioners in CKD/SKD condition, under different bills of entry by presenting the</t>
        </is>
      </c>
      <c r="I37" s="13" t="inlineStr">
        <is>
          <t>Classification</t>
        </is>
      </c>
      <c r="J37" s="13" t="inlineStr">
        <is>
          <t>inferred</t>
        </is>
      </c>
      <c r="K37" s="13" t="inlineStr">
        <is>
          <t>CAAR/Del/Mitsubishi/114/2025</t>
        </is>
      </c>
      <c r="L37" s="14" t="inlineStr">
        <is>
          <t>https://www.cbic.gov.in/content/pdf/CONTENTREPO/CAAR/car-del-114-06012026.pdf</t>
        </is>
      </c>
      <c r="M37" s="13" t="inlineStr">
        <is>
          <t>YES</t>
        </is>
      </c>
    </row>
    <row r="38">
      <c r="A38" s="13" t="inlineStr">
        <is>
          <t>Delhi Rulings</t>
        </is>
      </c>
      <c r="B38" s="13" t="inlineStr">
        <is>
          <t>4</t>
        </is>
      </c>
      <c r="C38" s="13" t="inlineStr">
        <is>
          <t>34</t>
        </is>
      </c>
      <c r="D38" s="13" t="inlineStr">
        <is>
          <t>M/s India Medtronic Private Limited</t>
        </is>
      </c>
      <c r="E38" s="13" t="inlineStr">
        <is>
          <t>29.09.2025</t>
        </is>
      </c>
      <c r="F38" s="13" t="inlineStr">
        <is>
          <t>05.12.2025</t>
        </is>
      </c>
      <c r="G38" s="13" t="inlineStr">
        <is>
          <t>2025</t>
        </is>
      </c>
      <c r="H38" s="13" t="inlineStr">
        <is>
          <t>The product under consideration i.e Onyx Embolization System classifiable under tariff entry 9021 39</t>
        </is>
      </c>
      <c r="I38" s="13" t="inlineStr">
        <is>
          <t>Classification</t>
        </is>
      </c>
      <c r="J38" s="13" t="inlineStr">
        <is>
          <t>explicit</t>
        </is>
      </c>
      <c r="K38" s="13" t="inlineStr">
        <is>
          <t>CAAR/Del/India Medtronics/110/2025</t>
        </is>
      </c>
      <c r="L38" s="14" t="inlineStr">
        <is>
          <t>https://www.cbic.gov.in/content/pdf/CONTENTREPO/CAAR/car-del-110-06012026.pdf</t>
        </is>
      </c>
      <c r="M38" s="13" t="inlineStr">
        <is>
          <t>YES</t>
        </is>
      </c>
    </row>
    <row r="39">
      <c r="A39" s="13" t="inlineStr">
        <is>
          <t>Delhi Rulings</t>
        </is>
      </c>
      <c r="B39" s="13" t="inlineStr">
        <is>
          <t>4</t>
        </is>
      </c>
      <c r="C39" s="13" t="inlineStr">
        <is>
          <t>35</t>
        </is>
      </c>
      <c r="D39" s="13" t="inlineStr">
        <is>
          <t>M/s India Medtronic Private Limited</t>
        </is>
      </c>
      <c r="E39" s="13" t="inlineStr">
        <is>
          <t>04.09.2025</t>
        </is>
      </c>
      <c r="F39" s="13" t="inlineStr">
        <is>
          <t>22.12.2025</t>
        </is>
      </c>
      <c r="G39" s="13" t="inlineStr">
        <is>
          <t>2025</t>
        </is>
      </c>
      <c r="H39" s="13" t="inlineStr">
        <is>
          <t>The product under consideration i.e Annuplasty Band is classifiable under tariff entry 9021 39 00 as</t>
        </is>
      </c>
      <c r="I39" s="13" t="inlineStr">
        <is>
          <t>Classification</t>
        </is>
      </c>
      <c r="J39" s="13" t="inlineStr">
        <is>
          <t>explicit</t>
        </is>
      </c>
      <c r="K39" s="13" t="inlineStr">
        <is>
          <t>CAAR/Del/India Medtronics/109/2025</t>
        </is>
      </c>
      <c r="L39" s="14" t="inlineStr">
        <is>
          <t>https://www.cbic.gov.in/content/pdf/CONTENTREPO/CAAR/car-del-109-06012026.pdf</t>
        </is>
      </c>
      <c r="M39" s="13" t="inlineStr">
        <is>
          <t>YES</t>
        </is>
      </c>
    </row>
    <row r="40">
      <c r="A40" s="13" t="inlineStr">
        <is>
          <t>Delhi Rulings</t>
        </is>
      </c>
      <c r="B40" s="13" t="inlineStr">
        <is>
          <t>4</t>
        </is>
      </c>
      <c r="C40" s="13" t="inlineStr">
        <is>
          <t>36</t>
        </is>
      </c>
      <c r="D40" s="13" t="inlineStr">
        <is>
          <t>M/s Starlink Satellite Communication Private Limited</t>
        </is>
      </c>
      <c r="E40" s="13" t="inlineStr">
        <is>
          <t>04.09.2025</t>
        </is>
      </c>
      <c r="F40" s="13" t="inlineStr">
        <is>
          <t>31.12.2025</t>
        </is>
      </c>
      <c r="G40" s="13" t="inlineStr">
        <is>
          <t>2025</t>
        </is>
      </c>
      <c r="H40" s="13" t="inlineStr">
        <is>
          <t>Racks</t>
        </is>
      </c>
      <c r="I40" s="13" t="inlineStr">
        <is>
          <t>Other / Unclear</t>
        </is>
      </c>
      <c r="J40" s="13" t="inlineStr">
        <is>
          <t>low</t>
        </is>
      </c>
      <c r="K40" s="13" t="inlineStr">
        <is>
          <t>CAAR/Del/Starlink/112-113/2025</t>
        </is>
      </c>
      <c r="L40" s="14" t="inlineStr">
        <is>
          <t>https://www.cbic.gov.in/content/pdf/CONTENTREPO/CAAR/car-del-112-113-05012026.pdf</t>
        </is>
      </c>
      <c r="M40" s="13" t="inlineStr">
        <is>
          <t>YES</t>
        </is>
      </c>
    </row>
    <row r="41">
      <c r="A41" s="13" t="inlineStr">
        <is>
          <t>Delhi Rulings</t>
        </is>
      </c>
      <c r="B41" s="13" t="inlineStr">
        <is>
          <t>4</t>
        </is>
      </c>
      <c r="C41" s="13" t="inlineStr">
        <is>
          <t>37</t>
        </is>
      </c>
      <c r="D41" s="13" t="inlineStr">
        <is>
          <t>M/s India Medtronic Private Limited</t>
        </is>
      </c>
      <c r="E41" s="13" t="inlineStr">
        <is>
          <t>02.09.2025</t>
        </is>
      </c>
      <c r="F41" s="13" t="inlineStr">
        <is>
          <t>19.12.2025</t>
        </is>
      </c>
      <c r="G41" s="13" t="inlineStr">
        <is>
          <t>2025</t>
        </is>
      </c>
      <c r="H41" s="13" t="inlineStr">
        <is>
          <t>The product under consideration i.e Solitaire AB stent is classifiable under tariff entry 9021 39 00</t>
        </is>
      </c>
      <c r="I41" s="13" t="inlineStr">
        <is>
          <t>Classification</t>
        </is>
      </c>
      <c r="J41" s="13" t="inlineStr">
        <is>
          <t>explicit</t>
        </is>
      </c>
      <c r="K41" s="13" t="inlineStr">
        <is>
          <t>CAAR/Del/India Medtronics/108/2025</t>
        </is>
      </c>
      <c r="L41" s="14" t="inlineStr">
        <is>
          <t>https://www.cbic.gov.in/content/pdf/CONTENTREPO/VPNcontents/CAAR/caar-del-108-29122025.pdf</t>
        </is>
      </c>
      <c r="M41" s="13" t="inlineStr">
        <is>
          <t>YES</t>
        </is>
      </c>
    </row>
    <row r="42">
      <c r="A42" s="13" t="inlineStr">
        <is>
          <t>Delhi Rulings</t>
        </is>
      </c>
      <c r="B42" s="13" t="inlineStr">
        <is>
          <t>4</t>
        </is>
      </c>
      <c r="C42" s="13" t="inlineStr">
        <is>
          <t>38</t>
        </is>
      </c>
      <c r="D42" s="13" t="inlineStr">
        <is>
          <t>M/s ATL Battery Technology (India) Private Limited</t>
        </is>
      </c>
      <c r="E42" s="13" t="inlineStr">
        <is>
          <t>08.05.2025</t>
        </is>
      </c>
      <c r="F42" s="13" t="inlineStr">
        <is>
          <t>18.12.2025</t>
        </is>
      </c>
      <c r="G42" s="13" t="inlineStr">
        <is>
          <t>2025</t>
        </is>
      </c>
      <c r="H42" s="13" t="inlineStr">
        <is>
          <t>Sub-parts, inputs and raw materials to manufacture Lithium-ion cells</t>
        </is>
      </c>
      <c r="I42" s="13" t="inlineStr">
        <is>
          <t>Classification</t>
        </is>
      </c>
      <c r="J42" s="13" t="inlineStr">
        <is>
          <t>inferred</t>
        </is>
      </c>
      <c r="K42" s="13" t="inlineStr">
        <is>
          <t>CAAR/Del/ATL/107/2025</t>
        </is>
      </c>
      <c r="L42" s="14" t="inlineStr">
        <is>
          <t>https://www.cbic.gov.in/content/pdf/CONTENTREPO/CAAR/caar-delhi-rul-107-19122025.pdf</t>
        </is>
      </c>
      <c r="M42" s="13" t="inlineStr">
        <is>
          <t>YES</t>
        </is>
      </c>
    </row>
    <row r="43">
      <c r="A43" s="13" t="inlineStr">
        <is>
          <t>Delhi Rulings</t>
        </is>
      </c>
      <c r="B43" s="13" t="inlineStr">
        <is>
          <t>4</t>
        </is>
      </c>
      <c r="C43" s="13" t="inlineStr">
        <is>
          <t>39</t>
        </is>
      </c>
      <c r="D43" s="13" t="inlineStr">
        <is>
          <t>M/s Qaigen India Pvt. Ltd.</t>
        </is>
      </c>
      <c r="E43" s="13" t="inlineStr">
        <is>
          <t>18.12.2024</t>
        </is>
      </c>
      <c r="F43" s="13" t="inlineStr">
        <is>
          <t>18.12.2025</t>
        </is>
      </c>
      <c r="G43" s="13" t="inlineStr">
        <is>
          <t>2025</t>
        </is>
      </c>
      <c r="H43" s="13" t="inlineStr">
        <is>
          <t>Filter Tips</t>
        </is>
      </c>
      <c r="I43" s="13" t="inlineStr">
        <is>
          <t>Classification</t>
        </is>
      </c>
      <c r="J43" s="13" t="inlineStr">
        <is>
          <t>inferred</t>
        </is>
      </c>
      <c r="K43" s="13" t="inlineStr">
        <is>
          <t>CAAR/Del/Qiagen/106/2025</t>
        </is>
      </c>
      <c r="L43" s="14" t="inlineStr">
        <is>
          <t>https://www.cbic.gov.in/content/pdf/CONTENTREPO/CAAR/caar-delhi-rul-106-19122025.pdf</t>
        </is>
      </c>
      <c r="M43" s="13" t="inlineStr">
        <is>
          <t>YES</t>
        </is>
      </c>
    </row>
    <row r="44">
      <c r="A44" s="13" t="inlineStr">
        <is>
          <t>Delhi Rulings</t>
        </is>
      </c>
      <c r="B44" s="13" t="inlineStr">
        <is>
          <t>4</t>
        </is>
      </c>
      <c r="C44" s="13" t="inlineStr">
        <is>
          <t>40</t>
        </is>
      </c>
      <c r="D44" s="13" t="inlineStr">
        <is>
          <t>M/s Qaigen India Pvt. Ltd.</t>
        </is>
      </c>
      <c r="E44" s="13" t="inlineStr">
        <is>
          <t>25.12.2025</t>
        </is>
      </c>
      <c r="F44" s="13" t="inlineStr">
        <is>
          <t>17.12.2025</t>
        </is>
      </c>
      <c r="G44" s="13" t="inlineStr">
        <is>
          <t>2025</t>
        </is>
      </c>
      <c r="H44" s="13" t="inlineStr">
        <is>
          <t>Diagnosis kits</t>
        </is>
      </c>
      <c r="I44" s="13" t="inlineStr">
        <is>
          <t>Classification</t>
        </is>
      </c>
      <c r="J44" s="13" t="inlineStr">
        <is>
          <t>inferred</t>
        </is>
      </c>
      <c r="K44" s="13" t="inlineStr">
        <is>
          <t>CAAR/Del/Qiagen/105/2025</t>
        </is>
      </c>
      <c r="L44" s="14" t="inlineStr">
        <is>
          <t>https://www.cbic.gov.in/content/pdf/CONTENTREPO/CAAR/caar-delhi-rul-105-19122025.pdf</t>
        </is>
      </c>
      <c r="M44" s="13" t="inlineStr">
        <is>
          <t>YES</t>
        </is>
      </c>
    </row>
    <row r="45">
      <c r="A45" s="13" t="inlineStr">
        <is>
          <t>Delhi Rulings</t>
        </is>
      </c>
      <c r="B45" s="13" t="inlineStr">
        <is>
          <t>5</t>
        </is>
      </c>
      <c r="C45" s="13" t="inlineStr">
        <is>
          <t>41</t>
        </is>
      </c>
      <c r="D45" s="13" t="inlineStr">
        <is>
          <t>M/s ATL Battery Technology (India) Private Limited</t>
        </is>
      </c>
      <c r="E45" s="13" t="inlineStr">
        <is>
          <t>08.05.2025</t>
        </is>
      </c>
      <c r="F45" s="13" t="inlineStr">
        <is>
          <t>18.12.2025</t>
        </is>
      </c>
      <c r="G45" s="13" t="inlineStr">
        <is>
          <t>2025</t>
        </is>
      </c>
      <c r="H45" s="13" t="inlineStr">
        <is>
          <t>Sub-parts, inputs and raw materials to manufacture Lithium-ion cells</t>
        </is>
      </c>
      <c r="I45" s="13" t="inlineStr">
        <is>
          <t>Classification</t>
        </is>
      </c>
      <c r="J45" s="13" t="inlineStr">
        <is>
          <t>inferred</t>
        </is>
      </c>
      <c r="K45" s="13" t="inlineStr">
        <is>
          <t>CAAR/Del/ATL/103/2025</t>
        </is>
      </c>
      <c r="L45" s="14" t="inlineStr">
        <is>
          <t>https://www.cbic.gov.in/content/pdf/CONTENTREPO/CAAR/caar-delhi-rul-103-20122025.pdf</t>
        </is>
      </c>
      <c r="M45" s="13" t="inlineStr">
        <is>
          <t>YES</t>
        </is>
      </c>
    </row>
    <row r="46">
      <c r="A46" s="13" t="inlineStr">
        <is>
          <t>Delhi Rulings</t>
        </is>
      </c>
      <c r="B46" s="13" t="inlineStr">
        <is>
          <t>5</t>
        </is>
      </c>
      <c r="C46" s="13" t="inlineStr">
        <is>
          <t>42</t>
        </is>
      </c>
      <c r="D46" s="13" t="inlineStr">
        <is>
          <t>M/s India Medtronic Private Limited</t>
        </is>
      </c>
      <c r="E46" s="13" t="inlineStr">
        <is>
          <t>04.09.2025</t>
        </is>
      </c>
      <c r="F46" s="13" t="inlineStr">
        <is>
          <t>08.12.2025</t>
        </is>
      </c>
      <c r="G46" s="13" t="inlineStr">
        <is>
          <t>2025</t>
        </is>
      </c>
      <c r="H46" s="13" t="inlineStr">
        <is>
          <t>The product under consideration i.e Solitaire AB stent is classifiable under tariff entry 9021 39 00</t>
        </is>
      </c>
      <c r="I46" s="13" t="inlineStr">
        <is>
          <t>Classification</t>
        </is>
      </c>
      <c r="J46" s="13" t="inlineStr">
        <is>
          <t>explicit</t>
        </is>
      </c>
      <c r="K46" s="13" t="inlineStr">
        <is>
          <t>CAAR/Del/India Medtronics/101/2025</t>
        </is>
      </c>
      <c r="L46" s="14" t="inlineStr">
        <is>
          <t>https://www.cbic.gov.in/content/pdf/CONTENTREPO/VPNcontents/CAAR/caar-del-101-29122025.pdf</t>
        </is>
      </c>
      <c r="M46" s="13" t="inlineStr">
        <is>
          <t>YES</t>
        </is>
      </c>
    </row>
    <row r="47">
      <c r="A47" s="13" t="inlineStr">
        <is>
          <t>Delhi Rulings</t>
        </is>
      </c>
      <c r="B47" s="13" t="inlineStr">
        <is>
          <t>5</t>
        </is>
      </c>
      <c r="C47" s="13" t="inlineStr">
        <is>
          <t>43</t>
        </is>
      </c>
      <c r="D47" s="13" t="inlineStr">
        <is>
          <t>M/s India Medtronic Private Limited</t>
        </is>
      </c>
      <c r="E47" s="13" t="inlineStr">
        <is>
          <t>04.09.2025</t>
        </is>
      </c>
      <c r="F47" s="13" t="inlineStr">
        <is>
          <t>05.12.2025</t>
        </is>
      </c>
      <c r="G47" s="13" t="inlineStr">
        <is>
          <t>2025</t>
        </is>
      </c>
      <c r="H47" s="13" t="inlineStr">
        <is>
          <t>The product under consideration i.e Embolization coils classifiable under tariff entry 9021 39 00 as</t>
        </is>
      </c>
      <c r="I47" s="13" t="inlineStr">
        <is>
          <t>Classification</t>
        </is>
      </c>
      <c r="J47" s="13" t="inlineStr">
        <is>
          <t>explicit</t>
        </is>
      </c>
      <c r="K47" s="13" t="inlineStr">
        <is>
          <t>CAAR/Del/India Medtronics/100/2025</t>
        </is>
      </c>
      <c r="L47" s="14" t="inlineStr">
        <is>
          <t>https://www.cbic.gov.in/content/pdf/CONTENTREPO/VPNcontents/CAAR/caar-del-100-29122025.pdf</t>
        </is>
      </c>
      <c r="M47" s="13" t="inlineStr">
        <is>
          <t>YES</t>
        </is>
      </c>
    </row>
    <row r="48">
      <c r="A48" s="13" t="inlineStr">
        <is>
          <t>Delhi Rulings</t>
        </is>
      </c>
      <c r="B48" s="13" t="inlineStr">
        <is>
          <t>5</t>
        </is>
      </c>
      <c r="C48" s="13" t="inlineStr">
        <is>
          <t>44</t>
        </is>
      </c>
      <c r="D48" s="13" t="inlineStr">
        <is>
          <t>M/s India Medtronic Private Limited</t>
        </is>
      </c>
      <c r="E48" s="13" t="inlineStr">
        <is>
          <t>04.09.2025</t>
        </is>
      </c>
      <c r="F48" s="13" t="inlineStr">
        <is>
          <t>04.12.2025</t>
        </is>
      </c>
      <c r="G48" s="13" t="inlineStr">
        <is>
          <t>2025</t>
        </is>
      </c>
      <c r="H48" s="13" t="inlineStr">
        <is>
          <t>The product under consideration i.e Axium Coil is classifiable under tariff entry 9021 39 00 as Othe</t>
        </is>
      </c>
      <c r="I48" s="13" t="inlineStr">
        <is>
          <t>Classification</t>
        </is>
      </c>
      <c r="J48" s="13" t="inlineStr">
        <is>
          <t>explicit</t>
        </is>
      </c>
      <c r="K48" s="13" t="inlineStr">
        <is>
          <t>CAAR/Del/India Medtronics/99/2025</t>
        </is>
      </c>
      <c r="L48" s="14" t="inlineStr">
        <is>
          <t>https://www.cbic.gov.in/content/pdf/CONTENTREPO/VPNcontents/CAAR/caar-del-99-29122025.pdf</t>
        </is>
      </c>
      <c r="M48" s="13" t="inlineStr">
        <is>
          <t>YES</t>
        </is>
      </c>
    </row>
    <row r="49">
      <c r="A49" s="13" t="inlineStr">
        <is>
          <t>Delhi Rulings</t>
        </is>
      </c>
      <c r="B49" s="13" t="inlineStr">
        <is>
          <t>5</t>
        </is>
      </c>
      <c r="C49" s="13" t="inlineStr">
        <is>
          <t>45</t>
        </is>
      </c>
      <c r="D49" s="13" t="inlineStr">
        <is>
          <t>M/s Qiagen India Pvt Ltd</t>
        </is>
      </c>
      <c r="E49" s="13" t="inlineStr">
        <is>
          <t>24.12.2024</t>
        </is>
      </c>
      <c r="F49" s="13" t="inlineStr">
        <is>
          <t>01.12.2025</t>
        </is>
      </c>
      <c r="G49" s="13" t="inlineStr">
        <is>
          <t>2025</t>
        </is>
      </c>
      <c r="H49" s="13" t="inlineStr">
        <is>
          <t>Spectrometers</t>
        </is>
      </c>
      <c r="I49" s="13" t="inlineStr">
        <is>
          <t>Classification</t>
        </is>
      </c>
      <c r="J49" s="13" t="inlineStr">
        <is>
          <t>inferred</t>
        </is>
      </c>
      <c r="K49" s="13" t="inlineStr">
        <is>
          <t>CAAR/Del/Qiagen/98/2025</t>
        </is>
      </c>
      <c r="L49" s="14" t="inlineStr">
        <is>
          <t>https://www.cbic.gov.in/content/pdf/CONTENTREPO/CAAR/caar-del-98-08122025.pdf</t>
        </is>
      </c>
      <c r="M49" s="13" t="inlineStr">
        <is>
          <t>YES</t>
        </is>
      </c>
    </row>
    <row r="50">
      <c r="A50" s="13" t="inlineStr">
        <is>
          <t>Delhi Rulings</t>
        </is>
      </c>
      <c r="B50" s="13" t="inlineStr">
        <is>
          <t>5</t>
        </is>
      </c>
      <c r="C50" s="13" t="inlineStr">
        <is>
          <t>46</t>
        </is>
      </c>
      <c r="D50" s="13" t="inlineStr">
        <is>
          <t>M/s Qiagen India Pvt Ltd</t>
        </is>
      </c>
      <c r="E50" s="13" t="inlineStr">
        <is>
          <t>24.12.2024</t>
        </is>
      </c>
      <c r="F50" s="13" t="inlineStr">
        <is>
          <t>26.11.2025</t>
        </is>
      </c>
      <c r="G50" s="13" t="inlineStr">
        <is>
          <t>2025</t>
        </is>
      </c>
      <c r="H50" s="13" t="inlineStr">
        <is>
          <t>Diagnostic Kits/Reagents/Instruments</t>
        </is>
      </c>
      <c r="I50" s="13" t="inlineStr">
        <is>
          <t>Classification</t>
        </is>
      </c>
      <c r="J50" s="13" t="inlineStr">
        <is>
          <t>inferred</t>
        </is>
      </c>
      <c r="K50" s="13" t="inlineStr">
        <is>
          <t>CAAR/Del/Qiagen/97/2025</t>
        </is>
      </c>
      <c r="L50" s="14" t="inlineStr">
        <is>
          <t>https://www.cbic.gov.in/content/pdf/CONTENTREPO/CAAR/car-del-97-27112025.pdf</t>
        </is>
      </c>
      <c r="M50" s="13" t="inlineStr">
        <is>
          <t>YES</t>
        </is>
      </c>
    </row>
    <row r="51">
      <c r="A51" s="13" t="inlineStr">
        <is>
          <t>Delhi Rulings</t>
        </is>
      </c>
      <c r="B51" s="13" t="inlineStr">
        <is>
          <t>5</t>
        </is>
      </c>
      <c r="C51" s="13" t="inlineStr">
        <is>
          <t>47</t>
        </is>
      </c>
      <c r="D51" s="13" t="inlineStr">
        <is>
          <t>M/s ATL battery Technology India Pvt Ltd</t>
        </is>
      </c>
      <c r="E51" s="13" t="inlineStr">
        <is>
          <t>08.05.2025</t>
        </is>
      </c>
      <c r="F51" s="13" t="inlineStr">
        <is>
          <t>26.11.2025</t>
        </is>
      </c>
      <c r="G51" s="13" t="inlineStr">
        <is>
          <t>2025</t>
        </is>
      </c>
      <c r="H51" s="13" t="inlineStr">
        <is>
          <t>Parts of Lithium Ion Cells</t>
        </is>
      </c>
      <c r="I51" s="13" t="inlineStr">
        <is>
          <t>Classification</t>
        </is>
      </c>
      <c r="J51" s="13" t="inlineStr">
        <is>
          <t>inferred</t>
        </is>
      </c>
      <c r="K51" s="13" t="inlineStr">
        <is>
          <t>CAAR/Del/ATL/96/2025</t>
        </is>
      </c>
      <c r="L51" s="14" t="inlineStr">
        <is>
          <t>https://www.cbic.gov.in/content/pdf/CONTENTREPO/CAAR/car-del-96-27112025.pdf</t>
        </is>
      </c>
      <c r="M51" s="13" t="inlineStr">
        <is>
          <t>YES</t>
        </is>
      </c>
    </row>
    <row r="52">
      <c r="A52" s="13" t="inlineStr">
        <is>
          <t>Delhi Rulings</t>
        </is>
      </c>
      <c r="B52" s="13" t="inlineStr">
        <is>
          <t>5</t>
        </is>
      </c>
      <c r="C52" s="13" t="inlineStr">
        <is>
          <t>48</t>
        </is>
      </c>
      <c r="D52" s="13" t="inlineStr">
        <is>
          <t>M/s Stufa Manufacturing Enterprises</t>
        </is>
      </c>
      <c r="E52" s="13" t="inlineStr">
        <is>
          <t>04.09.2025</t>
        </is>
      </c>
      <c r="F52" s="13" t="inlineStr">
        <is>
          <t>24.11.2025</t>
        </is>
      </c>
      <c r="G52" s="13" t="inlineStr">
        <is>
          <t>2025</t>
        </is>
      </c>
      <c r="H52" s="13" t="inlineStr">
        <is>
          <t>OTG parts</t>
        </is>
      </c>
      <c r="I52" s="13" t="inlineStr">
        <is>
          <t>Classification</t>
        </is>
      </c>
      <c r="J52" s="13" t="inlineStr">
        <is>
          <t>inferred</t>
        </is>
      </c>
      <c r="K52" s="13" t="inlineStr">
        <is>
          <t>CAAR/Del/Stufa/95/2025</t>
        </is>
      </c>
      <c r="L52" s="14" t="inlineStr">
        <is>
          <t>https://www.cbic.gov.in/content/pdf/CONTENTREPO/CAAR/car-del-95-27112025.pdf</t>
        </is>
      </c>
      <c r="M52" s="13" t="inlineStr">
        <is>
          <t>YES</t>
        </is>
      </c>
    </row>
    <row r="53">
      <c r="A53" s="13" t="inlineStr">
        <is>
          <t>Delhi Rulings</t>
        </is>
      </c>
      <c r="B53" s="13" t="inlineStr">
        <is>
          <t>5</t>
        </is>
      </c>
      <c r="C53" s="13" t="inlineStr">
        <is>
          <t>49</t>
        </is>
      </c>
      <c r="D53" s="13" t="inlineStr">
        <is>
          <t>M/s Qiagen India Pvt Ltd</t>
        </is>
      </c>
      <c r="E53" s="13" t="inlineStr">
        <is>
          <t>19.12.2024</t>
        </is>
      </c>
      <c r="F53" s="13" t="inlineStr">
        <is>
          <t>19.11.2025</t>
        </is>
      </c>
      <c r="G53" s="13" t="inlineStr">
        <is>
          <t>2025</t>
        </is>
      </c>
      <c r="H53" s="13" t="inlineStr">
        <is>
          <t>Diagnostic Kits/Reagents/Instruments</t>
        </is>
      </c>
      <c r="I53" s="13" t="inlineStr">
        <is>
          <t>Classification</t>
        </is>
      </c>
      <c r="J53" s="13" t="inlineStr">
        <is>
          <t>inferred</t>
        </is>
      </c>
      <c r="K53" s="13" t="inlineStr">
        <is>
          <t>CAAR/Del/Qiagen/94/2025</t>
        </is>
      </c>
      <c r="L53" s="14" t="inlineStr">
        <is>
          <t>https://www.cbic.gov.in/content/pdf/CONTENTREPO/CAAR/car-del-94-27112025.pdf</t>
        </is>
      </c>
      <c r="M53" s="13" t="inlineStr">
        <is>
          <t>YES</t>
        </is>
      </c>
    </row>
    <row r="54">
      <c r="A54" s="13" t="inlineStr">
        <is>
          <t>Delhi Rulings</t>
        </is>
      </c>
      <c r="B54" s="13" t="inlineStr">
        <is>
          <t>5</t>
        </is>
      </c>
      <c r="C54" s="13" t="inlineStr">
        <is>
          <t>50</t>
        </is>
      </c>
      <c r="D54" s="13" t="inlineStr">
        <is>
          <t>M/s Hingpu Overseas</t>
        </is>
      </c>
      <c r="E54" s="13" t="inlineStr">
        <is>
          <t>13.05.2025</t>
        </is>
      </c>
      <c r="F54" s="13" t="inlineStr">
        <is>
          <t>13.11.2025</t>
        </is>
      </c>
      <c r="G54" s="13" t="inlineStr">
        <is>
          <t>2025</t>
        </is>
      </c>
      <c r="H54" s="13" t="inlineStr">
        <is>
          <t>Beer</t>
        </is>
      </c>
      <c r="I54" s="13" t="inlineStr">
        <is>
          <t>Other / Unclear</t>
        </is>
      </c>
      <c r="J54" s="13" t="inlineStr">
        <is>
          <t>low</t>
        </is>
      </c>
      <c r="K54" s="13" t="inlineStr">
        <is>
          <t>CAAR/Del/91/2025</t>
        </is>
      </c>
      <c r="L54" s="14" t="inlineStr">
        <is>
          <t>https://www.cbic.gov.in/content/pdf/CONTENTREPO/CAAR/caar-del-91-21112025.pdf</t>
        </is>
      </c>
      <c r="M54" s="13" t="inlineStr">
        <is>
          <t>YES</t>
        </is>
      </c>
    </row>
    <row r="55">
      <c r="A55" s="13" t="inlineStr">
        <is>
          <t>Delhi Rulings</t>
        </is>
      </c>
      <c r="B55" s="13" t="inlineStr">
        <is>
          <t>6</t>
        </is>
      </c>
      <c r="C55" s="13" t="inlineStr">
        <is>
          <t>51</t>
        </is>
      </c>
      <c r="D55" s="13" t="inlineStr">
        <is>
          <t>M/s Vivo Mobile India Limited</t>
        </is>
      </c>
      <c r="E55" s="13" t="inlineStr">
        <is>
          <t>03.01.2025</t>
        </is>
      </c>
      <c r="F55" s="13" t="inlineStr">
        <is>
          <t>12.11.2025</t>
        </is>
      </c>
      <c r="G55" s="13" t="inlineStr">
        <is>
          <t>2025</t>
        </is>
      </c>
      <c r="H55" s="13" t="inlineStr">
        <is>
          <t>Mobile parts</t>
        </is>
      </c>
      <c r="I55" s="13" t="inlineStr">
        <is>
          <t>Classification</t>
        </is>
      </c>
      <c r="J55" s="13" t="inlineStr">
        <is>
          <t>inferred</t>
        </is>
      </c>
      <c r="K55" s="13" t="inlineStr">
        <is>
          <t>CAAR/Del/Vivo/90/2025</t>
        </is>
      </c>
      <c r="L55" s="14" t="inlineStr">
        <is>
          <t>https://www.cbic.gov.in/content/pdf/CONTENTREPO/CAAR/caar-del-90-21112025.pdf</t>
        </is>
      </c>
      <c r="M55" s="13" t="inlineStr">
        <is>
          <t>YES</t>
        </is>
      </c>
    </row>
    <row r="56">
      <c r="A56" s="13" t="inlineStr">
        <is>
          <t>Delhi Rulings</t>
        </is>
      </c>
      <c r="B56" s="13" t="inlineStr">
        <is>
          <t>6</t>
        </is>
      </c>
      <c r="C56" s="13" t="inlineStr">
        <is>
          <t>52</t>
        </is>
      </c>
      <c r="D56" s="13" t="inlineStr">
        <is>
          <t>M/s Rohde &amp; Schwarz India Private Limited</t>
        </is>
      </c>
      <c r="E56" s="13" t="inlineStr">
        <is>
          <t>16.04.2025</t>
        </is>
      </c>
      <c r="F56" s="13" t="inlineStr">
        <is>
          <t>23.10.2025</t>
        </is>
      </c>
      <c r="G56" s="13" t="inlineStr">
        <is>
          <t>2025</t>
        </is>
      </c>
      <c r="H56" s="13" t="inlineStr">
        <is>
          <t>Spectrum Analysers</t>
        </is>
      </c>
      <c r="I56" s="13" t="inlineStr">
        <is>
          <t>Classification</t>
        </is>
      </c>
      <c r="J56" s="13" t="inlineStr">
        <is>
          <t>inferred</t>
        </is>
      </c>
      <c r="K56" s="13" t="inlineStr">
        <is>
          <t>CAAR/Del/Rhode/85, 86, 87, 88/2025</t>
        </is>
      </c>
      <c r="L56" s="14" t="inlineStr">
        <is>
          <t>https://www.cbic.gov.in/content/pdf/CONTENTREPO/CAAR/caar-del-roh-85-88-27102025.pdf</t>
        </is>
      </c>
      <c r="M56" s="13" t="inlineStr">
        <is>
          <t>YES</t>
        </is>
      </c>
    </row>
    <row r="57">
      <c r="A57" s="13" t="inlineStr">
        <is>
          <t>Delhi Rulings</t>
        </is>
      </c>
      <c r="B57" s="13" t="inlineStr">
        <is>
          <t>6</t>
        </is>
      </c>
      <c r="C57" s="13" t="inlineStr">
        <is>
          <t>53</t>
        </is>
      </c>
      <c r="D57" s="13" t="inlineStr">
        <is>
          <t>M/s Rohde &amp; Schwarz India Private Limited</t>
        </is>
      </c>
      <c r="E57" s="13" t="inlineStr">
        <is>
          <t>16.04.2025</t>
        </is>
      </c>
      <c r="F57" s="13" t="inlineStr">
        <is>
          <t>22.10.2025</t>
        </is>
      </c>
      <c r="G57" s="13" t="inlineStr">
        <is>
          <t>2025</t>
        </is>
      </c>
      <c r="H57" s="13" t="inlineStr">
        <is>
          <t>R&amp;S® CMA 180 Radio Test Set</t>
        </is>
      </c>
      <c r="I57" s="13" t="inlineStr">
        <is>
          <t>Classification</t>
        </is>
      </c>
      <c r="J57" s="13" t="inlineStr">
        <is>
          <t>inferred</t>
        </is>
      </c>
      <c r="K57" s="13" t="inlineStr">
        <is>
          <t>CAAR/Del/Rhode/81, 82, 83, 84/2025</t>
        </is>
      </c>
      <c r="L57" s="14" t="inlineStr">
        <is>
          <t>https://www.cbic.gov.in/content/pdf/CONTENTREPO/CAAR/caar-del-roh-81-84-27102025.pdf</t>
        </is>
      </c>
      <c r="M57" s="13" t="inlineStr">
        <is>
          <t>YES</t>
        </is>
      </c>
    </row>
    <row r="58">
      <c r="A58" s="13" t="inlineStr">
        <is>
          <t>Delhi Rulings</t>
        </is>
      </c>
      <c r="B58" s="13" t="inlineStr">
        <is>
          <t>6</t>
        </is>
      </c>
      <c r="C58" s="13" t="inlineStr">
        <is>
          <t>54</t>
        </is>
      </c>
      <c r="D58" s="13" t="inlineStr">
        <is>
          <t>M/s Rohde &amp; Schwarz India Private Limited</t>
        </is>
      </c>
      <c r="E58" s="13" t="inlineStr">
        <is>
          <t>19.05.2025</t>
        </is>
      </c>
      <c r="F58" s="13" t="inlineStr">
        <is>
          <t>17.10.2025</t>
        </is>
      </c>
      <c r="G58" s="13" t="inlineStr">
        <is>
          <t>2025</t>
        </is>
      </c>
      <c r="H58" s="13" t="inlineStr">
        <is>
          <t>PVT 360A Performance Vector Tester</t>
        </is>
      </c>
      <c r="I58" s="13" t="inlineStr">
        <is>
          <t>Classification</t>
        </is>
      </c>
      <c r="J58" s="13" t="inlineStr">
        <is>
          <t>inferred</t>
        </is>
      </c>
      <c r="K58" s="13" t="inlineStr">
        <is>
          <t>CAAR/Del/Rhode/77, 78, 79, 80/2025</t>
        </is>
      </c>
      <c r="L58" s="14" t="inlineStr">
        <is>
          <t>https://www.cbic.gov.in/content/pdf/CONTENTREPO/CAAR/caar-del-roh-77-80-27102025.pdf</t>
        </is>
      </c>
      <c r="M58" s="13" t="inlineStr">
        <is>
          <t>YES</t>
        </is>
      </c>
    </row>
    <row r="59">
      <c r="A59" s="13" t="inlineStr">
        <is>
          <t>Delhi Rulings</t>
        </is>
      </c>
      <c r="B59" s="13" t="inlineStr">
        <is>
          <t>6</t>
        </is>
      </c>
      <c r="C59" s="13" t="inlineStr">
        <is>
          <t>55</t>
        </is>
      </c>
      <c r="D59" s="13" t="inlineStr">
        <is>
          <t>M/s Samsung India Electronics Private Limited</t>
        </is>
      </c>
      <c r="E59" s="13" t="inlineStr">
        <is>
          <t>11.06.2025</t>
        </is>
      </c>
      <c r="F59" s="13" t="inlineStr">
        <is>
          <t>14.10.2025</t>
        </is>
      </c>
      <c r="G59" s="13" t="inlineStr">
        <is>
          <t>2025</t>
        </is>
      </c>
      <c r="H59" s="13" t="inlineStr">
        <is>
          <t>Wired Remote Controller</t>
        </is>
      </c>
      <c r="I59" s="13" t="inlineStr">
        <is>
          <t>Classification</t>
        </is>
      </c>
      <c r="J59" s="13" t="inlineStr">
        <is>
          <t>inferred</t>
        </is>
      </c>
      <c r="K59" s="13" t="inlineStr">
        <is>
          <t>CAAR/Del/Samsung India/75/2025</t>
        </is>
      </c>
      <c r="L59" s="14" t="inlineStr">
        <is>
          <t>https://www.cbic.gov.in/content/pdf/CONTENTREPO/CAAR/caar-del-samsang-75-16102025.pdf</t>
        </is>
      </c>
      <c r="M59" s="13" t="inlineStr">
        <is>
          <t>YES</t>
        </is>
      </c>
    </row>
    <row r="60">
      <c r="A60" s="13" t="inlineStr">
        <is>
          <t>Delhi Rulings</t>
        </is>
      </c>
      <c r="B60" s="13" t="inlineStr">
        <is>
          <t>6</t>
        </is>
      </c>
      <c r="C60" s="13" t="inlineStr">
        <is>
          <t>56</t>
        </is>
      </c>
      <c r="D60" s="13" t="inlineStr">
        <is>
          <t>M/s Samkwang India Electronics Private Limited</t>
        </is>
      </c>
      <c r="E60" s="13" t="inlineStr">
        <is>
          <t>04.06.2025</t>
        </is>
      </c>
      <c r="F60" s="13" t="inlineStr">
        <is>
          <t>14.10.2025</t>
        </is>
      </c>
      <c r="G60" s="13" t="inlineStr">
        <is>
          <t>2025</t>
        </is>
      </c>
      <c r="H60" s="13" t="inlineStr">
        <is>
          <t>Assy Case Front or Front Cover</t>
        </is>
      </c>
      <c r="I60" s="13" t="inlineStr">
        <is>
          <t>Classification</t>
        </is>
      </c>
      <c r="J60" s="13" t="inlineStr">
        <is>
          <t>inferred</t>
        </is>
      </c>
      <c r="K60" s="13" t="inlineStr">
        <is>
          <t>CAAR/Del/Samkwang/74/2025</t>
        </is>
      </c>
      <c r="L60" s="14" t="inlineStr">
        <is>
          <t>https://www.cbic.gov.in/content/pdf/CONTENTREPO/CAAR/caar-del-samkwang-74-16102025.pdf</t>
        </is>
      </c>
      <c r="M60" s="13" t="inlineStr">
        <is>
          <t>YES</t>
        </is>
      </c>
    </row>
    <row r="61">
      <c r="A61" s="13" t="inlineStr">
        <is>
          <t>Delhi Rulings</t>
        </is>
      </c>
      <c r="B61" s="13" t="inlineStr">
        <is>
          <t>6</t>
        </is>
      </c>
      <c r="C61" s="13" t="inlineStr">
        <is>
          <t>57</t>
        </is>
      </c>
      <c r="D61" s="13" t="inlineStr">
        <is>
          <t>M/s QIAGEN India Pvt. Ltd.</t>
        </is>
      </c>
      <c r="E61" s="13" t="inlineStr">
        <is>
          <t>18.12.2024</t>
        </is>
      </c>
      <c r="F61" s="13" t="inlineStr">
        <is>
          <t>11.08.2025</t>
        </is>
      </c>
      <c r="G61" s="13" t="inlineStr">
        <is>
          <t>2025</t>
        </is>
      </c>
      <c r="H61" s="13" t="inlineStr">
        <is>
          <t>Nuclease Free Water</t>
        </is>
      </c>
      <c r="I61" s="13" t="inlineStr">
        <is>
          <t>Classification</t>
        </is>
      </c>
      <c r="J61" s="13" t="inlineStr">
        <is>
          <t>inferred</t>
        </is>
      </c>
      <c r="K61" s="13" t="inlineStr">
        <is>
          <t>CAAR/Del/QIAGEN/47/2025</t>
        </is>
      </c>
      <c r="L61" s="14" t="inlineStr">
        <is>
          <t>https://www.cbic.gov.in/content/pdf/CONTENTREPO/CAAR/car-del-47-13102025.pdf</t>
        </is>
      </c>
      <c r="M61" s="13" t="inlineStr">
        <is>
          <t>YES</t>
        </is>
      </c>
    </row>
    <row r="62">
      <c r="A62" s="13" t="inlineStr">
        <is>
          <t>Delhi Rulings</t>
        </is>
      </c>
      <c r="B62" s="13" t="inlineStr">
        <is>
          <t>6</t>
        </is>
      </c>
      <c r="C62" s="13" t="inlineStr">
        <is>
          <t>58</t>
        </is>
      </c>
      <c r="D62" s="13" t="inlineStr">
        <is>
          <t>M/s Bird flight Services Pvt Ltd</t>
        </is>
      </c>
      <c r="E62" s="13" t="inlineStr">
        <is>
          <t>20.06.2025</t>
        </is>
      </c>
      <c r="F62" s="13" t="inlineStr">
        <is>
          <t>07.10.2025</t>
        </is>
      </c>
      <c r="G62" s="13" t="inlineStr">
        <is>
          <t>2025</t>
        </is>
      </c>
      <c r="H62" s="13" t="inlineStr">
        <is>
          <t>Air Conditioning Unit</t>
        </is>
      </c>
      <c r="I62" s="13" t="inlineStr">
        <is>
          <t>Classification</t>
        </is>
      </c>
      <c r="J62" s="13" t="inlineStr">
        <is>
          <t>inferred</t>
        </is>
      </c>
      <c r="K62" s="13" t="inlineStr">
        <is>
          <t>CAAR/Del/Bird Flight/72/2025</t>
        </is>
      </c>
      <c r="L62" s="14" t="inlineStr">
        <is>
          <t>https://www.cbic.gov.in/content/pdf/CONTENTREPO/CAAR/caar-del-Bird-72-09102025.pdf</t>
        </is>
      </c>
      <c r="M62" s="13" t="inlineStr">
        <is>
          <t>YES</t>
        </is>
      </c>
    </row>
    <row r="63">
      <c r="A63" s="13" t="inlineStr">
        <is>
          <t>Delhi Rulings</t>
        </is>
      </c>
      <c r="B63" s="13" t="inlineStr">
        <is>
          <t>6</t>
        </is>
      </c>
      <c r="C63" s="13" t="inlineStr">
        <is>
          <t>59</t>
        </is>
      </c>
      <c r="D63" s="13" t="inlineStr">
        <is>
          <t>M/s Shri Ganesh International</t>
        </is>
      </c>
      <c r="E63" s="13" t="inlineStr">
        <is>
          <t>05.06.2025</t>
        </is>
      </c>
      <c r="F63" s="13" t="inlineStr">
        <is>
          <t>07.10.2025</t>
        </is>
      </c>
      <c r="G63" s="13" t="inlineStr">
        <is>
          <t>2025</t>
        </is>
      </c>
      <c r="H63" s="13" t="inlineStr">
        <is>
          <t>PVC, PS and PU products</t>
        </is>
      </c>
      <c r="I63" s="13" t="inlineStr">
        <is>
          <t>Classification</t>
        </is>
      </c>
      <c r="J63" s="13" t="inlineStr">
        <is>
          <t>inferred</t>
        </is>
      </c>
      <c r="K63" s="13" t="inlineStr">
        <is>
          <t>CAAR/Del/Shri Ganesh/71/2025</t>
        </is>
      </c>
      <c r="L63" s="14" t="inlineStr">
        <is>
          <t>https://www.cbic.gov.in/content/pdf/CONTENTREPO/CAAR/caar-del-gan-71-09102025.pdf</t>
        </is>
      </c>
      <c r="M63" s="13" t="inlineStr">
        <is>
          <t>YES</t>
        </is>
      </c>
    </row>
    <row r="64">
      <c r="A64" s="13" t="inlineStr">
        <is>
          <t>Delhi Rulings</t>
        </is>
      </c>
      <c r="B64" s="13" t="inlineStr">
        <is>
          <t>6</t>
        </is>
      </c>
      <c r="C64" s="13" t="inlineStr">
        <is>
          <t>60</t>
        </is>
      </c>
      <c r="D64" s="13" t="inlineStr">
        <is>
          <t>M/s Hewlett Packard Enterprise India Pvt Ltd</t>
        </is>
      </c>
      <c r="E64" s="13" t="inlineStr">
        <is>
          <t>08.05.2025</t>
        </is>
      </c>
      <c r="F64" s="13" t="inlineStr">
        <is>
          <t>01.10.2025</t>
        </is>
      </c>
      <c r="G64" s="13" t="inlineStr">
        <is>
          <t>2025</t>
        </is>
      </c>
      <c r="H64" s="13" t="inlineStr">
        <is>
          <t>Utility interconnected photovoltaic Inverte</t>
        </is>
      </c>
      <c r="I64" s="13" t="inlineStr">
        <is>
          <t>Classification</t>
        </is>
      </c>
      <c r="J64" s="13" t="inlineStr">
        <is>
          <t>inferred</t>
        </is>
      </c>
      <c r="K64" s="13" t="inlineStr">
        <is>
          <t>CAAR/Del/Hewlett Packard/68/2025</t>
        </is>
      </c>
      <c r="L64" s="14" t="inlineStr">
        <is>
          <t>https://www.cbic.gov.in/content/pdf/CONTENTREPO/VPNcontents/CAAR/caar-del-68-09102025.pdf</t>
        </is>
      </c>
      <c r="M64" s="13" t="inlineStr">
        <is>
          <t>YES</t>
        </is>
      </c>
    </row>
    <row r="65">
      <c r="A65" s="13" t="inlineStr">
        <is>
          <t>Delhi Rulings</t>
        </is>
      </c>
      <c r="B65" s="13" t="inlineStr">
        <is>
          <t>7</t>
        </is>
      </c>
      <c r="C65" s="13" t="inlineStr">
        <is>
          <t>61</t>
        </is>
      </c>
      <c r="D65" s="13" t="inlineStr">
        <is>
          <t>M/s Uniqlo India Pvt. Ltd.</t>
        </is>
      </c>
      <c r="E65" s="13" t="inlineStr">
        <is>
          <t>13.12.2024</t>
        </is>
      </c>
      <c r="F65" s="13" t="inlineStr">
        <is>
          <t>24.07.2025</t>
        </is>
      </c>
      <c r="G65" s="13" t="inlineStr">
        <is>
          <t>2025</t>
        </is>
      </c>
      <c r="H65" s="13" t="inlineStr">
        <is>
          <t>Knitted Fleece Lounge Set</t>
        </is>
      </c>
      <c r="I65" s="13" t="inlineStr">
        <is>
          <t>Classification</t>
        </is>
      </c>
      <c r="J65" s="13" t="inlineStr">
        <is>
          <t>inferred</t>
        </is>
      </c>
      <c r="K65" s="13" t="inlineStr">
        <is>
          <t>CAAR/Del/Uniqlo/40/2025</t>
        </is>
      </c>
      <c r="L65" s="14" t="inlineStr">
        <is>
          <t>https://www.cbic.gov.in/content/pdf/CONTENTREPO/CAAR/car-del-40-09102025.pdf</t>
        </is>
      </c>
      <c r="M65" s="13" t="inlineStr">
        <is>
          <t>YES</t>
        </is>
      </c>
    </row>
    <row r="66">
      <c r="A66" s="13" t="inlineStr">
        <is>
          <t>Delhi Rulings</t>
        </is>
      </c>
      <c r="B66" s="13" t="inlineStr">
        <is>
          <t>7</t>
        </is>
      </c>
      <c r="C66" s="13" t="inlineStr">
        <is>
          <t>62</t>
        </is>
      </c>
      <c r="D66" s="13" t="inlineStr">
        <is>
          <t>M/s Samsung India Electronics Private Limited</t>
        </is>
      </c>
      <c r="E66" s="13" t="inlineStr">
        <is>
          <t>20.12.2024</t>
        </is>
      </c>
      <c r="F66" s="13" t="inlineStr">
        <is>
          <t>20.06.2025</t>
        </is>
      </c>
      <c r="G66" s="13" t="inlineStr">
        <is>
          <t>2025</t>
        </is>
      </c>
      <c r="H66" s="13" t="inlineStr">
        <is>
          <t>Stylus Pen.</t>
        </is>
      </c>
      <c r="I66" s="13" t="inlineStr">
        <is>
          <t>Classification</t>
        </is>
      </c>
      <c r="J66" s="13" t="inlineStr">
        <is>
          <t>inferred</t>
        </is>
      </c>
      <c r="K66" s="13" t="inlineStr">
        <is>
          <t>CAAR/Del/Samsung/33/2025</t>
        </is>
      </c>
      <c r="L66" s="14" t="inlineStr">
        <is>
          <t>https://www.cbic.gov.in/content/pdf/CONTENTREPO/CAAR/caar-del-samsug-33-08102025.pdf</t>
        </is>
      </c>
      <c r="M66" s="13" t="inlineStr">
        <is>
          <t>YES</t>
        </is>
      </c>
    </row>
    <row r="67">
      <c r="A67" s="13" t="inlineStr">
        <is>
          <t>Delhi Rulings</t>
        </is>
      </c>
      <c r="B67" s="13" t="inlineStr">
        <is>
          <t>7</t>
        </is>
      </c>
      <c r="C67" s="13" t="inlineStr">
        <is>
          <t>63</t>
        </is>
      </c>
      <c r="D67" s="13" t="inlineStr">
        <is>
          <t>M/s Samsung India Electronics (P) Ltd.</t>
        </is>
      </c>
      <c r="E67" s="13" t="inlineStr">
        <is>
          <t>11.07.2025</t>
        </is>
      </c>
      <c r="F67" s="13" t="inlineStr">
        <is>
          <t>01.10.2025</t>
        </is>
      </c>
      <c r="G67" s="13" t="inlineStr">
        <is>
          <t>2025</t>
        </is>
      </c>
      <c r="H67" s="13" t="inlineStr">
        <is>
          <t>Watch Bands</t>
        </is>
      </c>
      <c r="I67" s="13" t="inlineStr">
        <is>
          <t>Classification</t>
        </is>
      </c>
      <c r="J67" s="13" t="inlineStr">
        <is>
          <t>inferred</t>
        </is>
      </c>
      <c r="K67" s="13" t="inlineStr">
        <is>
          <t>CAAR/Del/Samsung India/70/2025</t>
        </is>
      </c>
      <c r="L67" s="14" t="inlineStr">
        <is>
          <t>https://www.cbic.gov.in/content/pdf/CONTENTREPO/CAAR/caar-delhi-rul-70-07102025.pdf</t>
        </is>
      </c>
      <c r="M67" s="13" t="inlineStr">
        <is>
          <t>YES</t>
        </is>
      </c>
    </row>
    <row r="68">
      <c r="A68" s="13" t="inlineStr">
        <is>
          <t>Delhi Rulings</t>
        </is>
      </c>
      <c r="B68" s="13" t="inlineStr">
        <is>
          <t>7</t>
        </is>
      </c>
      <c r="C68" s="13" t="inlineStr">
        <is>
          <t>64</t>
        </is>
      </c>
      <c r="D68" s="13" t="inlineStr">
        <is>
          <t>M/s TXD India Technology Pvt. Limited</t>
        </is>
      </c>
      <c r="E68" s="13" t="inlineStr">
        <is>
          <t>28.04.2025</t>
        </is>
      </c>
      <c r="F68" s="13" t="inlineStr">
        <is>
          <t>22.09.2025</t>
        </is>
      </c>
      <c r="G68" s="13" t="inlineStr">
        <is>
          <t>2025</t>
        </is>
      </c>
      <c r="H68" s="13" t="inlineStr">
        <is>
          <t>Display assembly of cellular mobile phones</t>
        </is>
      </c>
      <c r="I68" s="13" t="inlineStr">
        <is>
          <t>Classification</t>
        </is>
      </c>
      <c r="J68" s="13" t="inlineStr">
        <is>
          <t>inferred</t>
        </is>
      </c>
      <c r="K68" s="13" t="inlineStr">
        <is>
          <t>CAAR/Del/TXD/63/2025</t>
        </is>
      </c>
      <c r="L68" s="14" t="inlineStr">
        <is>
          <t>https://www.cbic.gov.in/content/pdf/CONTENTREPO/CAAR/caar-delhi-rul-63-07102025.pdf</t>
        </is>
      </c>
      <c r="M68" s="13" t="inlineStr">
        <is>
          <t>YES</t>
        </is>
      </c>
    </row>
    <row r="69">
      <c r="A69" s="13" t="inlineStr">
        <is>
          <t>Delhi Rulings</t>
        </is>
      </c>
      <c r="B69" s="13" t="inlineStr">
        <is>
          <t>7</t>
        </is>
      </c>
      <c r="C69" s="13" t="inlineStr">
        <is>
          <t>65</t>
        </is>
      </c>
      <c r="D69" s="13" t="inlineStr">
        <is>
          <t>M/s Samsung Display Noida Private Limited</t>
        </is>
      </c>
      <c r="E69" s="13" t="inlineStr">
        <is>
          <t>19.05.2025</t>
        </is>
      </c>
      <c r="F69" s="13" t="inlineStr">
        <is>
          <t>12.09.2025</t>
        </is>
      </c>
      <c r="G69" s="13" t="inlineStr">
        <is>
          <t>2025</t>
        </is>
      </c>
      <c r="H69" s="13" t="inlineStr">
        <is>
          <t>Whether benefit of Notification No. 24/2005 shall be available in case of import of inputs and parts</t>
        </is>
      </c>
      <c r="I69" s="13" t="inlineStr">
        <is>
          <t>Exemption</t>
        </is>
      </c>
      <c r="J69" s="13" t="inlineStr">
        <is>
          <t>explicit</t>
        </is>
      </c>
      <c r="K69" s="13" t="inlineStr">
        <is>
          <t>CAAR/Del/Samsung Display/62/2025</t>
        </is>
      </c>
      <c r="L69" s="14" t="inlineStr">
        <is>
          <t>https://www.cbic.gov.in/content/pdf/CONTENTREPO/CAAR/car-del62-22092025.pdf</t>
        </is>
      </c>
      <c r="M69" s="13" t="inlineStr">
        <is>
          <t>YES</t>
        </is>
      </c>
    </row>
    <row r="70">
      <c r="A70" s="13" t="inlineStr">
        <is>
          <t>Delhi Rulings</t>
        </is>
      </c>
      <c r="B70" s="13" t="inlineStr">
        <is>
          <t>7</t>
        </is>
      </c>
      <c r="C70" s="13" t="inlineStr">
        <is>
          <t>66</t>
        </is>
      </c>
      <c r="D70" s="13" t="inlineStr">
        <is>
          <t>M/s JSW MG Motor India Pvt. Limited</t>
        </is>
      </c>
      <c r="E70" s="13" t="inlineStr">
        <is>
          <t>27.01.2025</t>
        </is>
      </c>
      <c r="F70" s="13" t="inlineStr">
        <is>
          <t>16.09.2025</t>
        </is>
      </c>
      <c r="G70" s="13" t="inlineStr">
        <is>
          <t>2025</t>
        </is>
      </c>
      <c r="H70" s="13" t="inlineStr">
        <is>
          <t>Unassembled Kit of M9</t>
        </is>
      </c>
      <c r="I70" s="13" t="inlineStr">
        <is>
          <t>Classification</t>
        </is>
      </c>
      <c r="J70" s="13" t="inlineStr">
        <is>
          <t>inferred</t>
        </is>
      </c>
      <c r="K70" s="13" t="inlineStr">
        <is>
          <t>CAAR/Del/JSW/59-61/2025</t>
        </is>
      </c>
      <c r="L70" s="13" t="inlineStr"/>
      <c r="M70" s="13" t="inlineStr">
        <is>
          <t>NO</t>
        </is>
      </c>
    </row>
    <row r="71">
      <c r="A71" s="13" t="inlineStr">
        <is>
          <t>Delhi Rulings</t>
        </is>
      </c>
      <c r="B71" s="13" t="inlineStr">
        <is>
          <t>7</t>
        </is>
      </c>
      <c r="C71" s="13" t="inlineStr">
        <is>
          <t>67</t>
        </is>
      </c>
      <c r="D71" s="13" t="inlineStr">
        <is>
          <t>M/s Canon India Pvt. Ltd</t>
        </is>
      </c>
      <c r="E71" s="13" t="inlineStr">
        <is>
          <t>28-04-2025</t>
        </is>
      </c>
      <c r="F71" s="13" t="inlineStr">
        <is>
          <t>18-08-2025</t>
        </is>
      </c>
      <c r="G71" s="13" t="inlineStr">
        <is>
          <t>2025</t>
        </is>
      </c>
      <c r="H71" s="13" t="inlineStr">
        <is>
          <t>Import of Canon Camera Model No. K 518</t>
        </is>
      </c>
      <c r="I71" s="13" t="inlineStr">
        <is>
          <t>Classification</t>
        </is>
      </c>
      <c r="J71" s="13" t="inlineStr">
        <is>
          <t>inferred</t>
        </is>
      </c>
      <c r="K71" s="13" t="inlineStr">
        <is>
          <t>CAAR/Del/Canon/48/2025</t>
        </is>
      </c>
      <c r="L71" s="13" t="inlineStr"/>
      <c r="M71" s="13" t="inlineStr">
        <is>
          <t>NO</t>
        </is>
      </c>
    </row>
    <row r="72">
      <c r="A72" s="13" t="inlineStr">
        <is>
          <t>Delhi Rulings</t>
        </is>
      </c>
      <c r="B72" s="13" t="inlineStr">
        <is>
          <t>7</t>
        </is>
      </c>
      <c r="C72" s="13" t="inlineStr">
        <is>
          <t>68</t>
        </is>
      </c>
      <c r="D72" s="13" t="inlineStr">
        <is>
          <t>M/s Veesan International Trading Private Limited</t>
        </is>
      </c>
      <c r="E72" s="13" t="inlineStr">
        <is>
          <t>04-06-2025</t>
        </is>
      </c>
      <c r="F72" s="13" t="inlineStr">
        <is>
          <t>11-08-2025</t>
        </is>
      </c>
      <c r="G72" s="13" t="inlineStr">
        <is>
          <t>2025</t>
        </is>
      </c>
      <c r="H72" s="13" t="inlineStr">
        <is>
          <t>Import of “Flavoured Supari’</t>
        </is>
      </c>
      <c r="I72" s="13" t="inlineStr">
        <is>
          <t>Classification</t>
        </is>
      </c>
      <c r="J72" s="13" t="inlineStr">
        <is>
          <t>inferred</t>
        </is>
      </c>
      <c r="K72" s="13" t="inlineStr">
        <is>
          <t>CAAR/Del/Veesan/46/2025</t>
        </is>
      </c>
      <c r="L72" s="14" t="inlineStr">
        <is>
          <t>https://www.cbic.gov.in/content/pdf/CONTENTREPO/VPNcontents/CAAR/caar-del-46-19082025.pdf</t>
        </is>
      </c>
      <c r="M72" s="13" t="inlineStr">
        <is>
          <t>YES</t>
        </is>
      </c>
    </row>
    <row r="73">
      <c r="A73" s="13" t="inlineStr">
        <is>
          <t>Delhi Rulings</t>
        </is>
      </c>
      <c r="B73" s="13" t="inlineStr">
        <is>
          <t>7</t>
        </is>
      </c>
      <c r="C73" s="13" t="inlineStr">
        <is>
          <t>69</t>
        </is>
      </c>
      <c r="D73" s="13" t="inlineStr">
        <is>
          <t>M/s Gauma Apparels Internatio (OPC) Pvt Ltd</t>
        </is>
      </c>
      <c r="E73" s="13" t="inlineStr">
        <is>
          <t>05-06-2025</t>
        </is>
      </c>
      <c r="F73" s="13" t="inlineStr">
        <is>
          <t>11-08-2025</t>
        </is>
      </c>
      <c r="G73" s="13" t="inlineStr">
        <is>
          <t>2025</t>
        </is>
      </c>
      <c r="H73" s="13" t="inlineStr">
        <is>
          <t>Import of “Flavoured Supari’</t>
        </is>
      </c>
      <c r="I73" s="13" t="inlineStr">
        <is>
          <t>Classification</t>
        </is>
      </c>
      <c r="J73" s="13" t="inlineStr">
        <is>
          <t>inferred</t>
        </is>
      </c>
      <c r="K73" s="13" t="inlineStr">
        <is>
          <t>CAAR/Del/Gauma/45/2025</t>
        </is>
      </c>
      <c r="L73" s="14" t="inlineStr">
        <is>
          <t>https://www.cbic.gov.in/content/pdf/CONTENTREPO/VPNcontents/CAAR/caar-del--45-19082025.pdf</t>
        </is>
      </c>
      <c r="M73" s="13" t="inlineStr">
        <is>
          <t>YES</t>
        </is>
      </c>
    </row>
    <row r="74">
      <c r="A74" s="13" t="inlineStr">
        <is>
          <t>Delhi Rulings</t>
        </is>
      </c>
      <c r="B74" s="13" t="inlineStr">
        <is>
          <t>7</t>
        </is>
      </c>
      <c r="C74" s="13" t="inlineStr">
        <is>
          <t>70</t>
        </is>
      </c>
      <c r="D74" s="13" t="inlineStr">
        <is>
          <t>M/s Le Mei Plastic Manufacturing Private Limited</t>
        </is>
      </c>
      <c r="E74" s="13" t="inlineStr">
        <is>
          <t>05-03-2025</t>
        </is>
      </c>
      <c r="F74" s="13" t="inlineStr">
        <is>
          <t>06-08-2025</t>
        </is>
      </c>
      <c r="G74" s="13" t="inlineStr">
        <is>
          <t>2025</t>
        </is>
      </c>
      <c r="H74" s="13" t="inlineStr">
        <is>
          <t>Import of "Aluminum plates, Magnesium alloy sheet, Heat Dissipating films, Silicon pads, Conductive</t>
        </is>
      </c>
      <c r="I74" s="13" t="inlineStr">
        <is>
          <t>Classification</t>
        </is>
      </c>
      <c r="J74" s="13" t="inlineStr">
        <is>
          <t>inferred</t>
        </is>
      </c>
      <c r="K74" s="13" t="inlineStr">
        <is>
          <t>CAAR/Del/Le Mei/44/2025</t>
        </is>
      </c>
      <c r="L74" s="14" t="inlineStr">
        <is>
          <t>https://www.cbic.gov.in/content/pdf/CONTENTREPO/CAAR/car-del-44-08082025.pdf</t>
        </is>
      </c>
      <c r="M74" s="13" t="inlineStr">
        <is>
          <t>YES</t>
        </is>
      </c>
    </row>
    <row r="75">
      <c r="A75" s="13" t="inlineStr">
        <is>
          <t>Delhi Rulings</t>
        </is>
      </c>
      <c r="B75" s="13" t="inlineStr">
        <is>
          <t>8</t>
        </is>
      </c>
      <c r="C75" s="13" t="inlineStr">
        <is>
          <t>71</t>
        </is>
      </c>
      <c r="D75" s="13" t="inlineStr">
        <is>
          <t>M/s Mitsubishi Electric Automotive India Private Limited</t>
        </is>
      </c>
      <c r="E75" s="13" t="inlineStr">
        <is>
          <t>05.03.2025</t>
        </is>
      </c>
      <c r="F75" s="13" t="inlineStr">
        <is>
          <t>30.07.2025</t>
        </is>
      </c>
      <c r="G75" s="13" t="inlineStr">
        <is>
          <t>2025</t>
        </is>
      </c>
      <c r="H75" s="13" t="inlineStr">
        <is>
          <t>Import of Inverter Assembly Units</t>
        </is>
      </c>
      <c r="I75" s="13" t="inlineStr">
        <is>
          <t>Classification</t>
        </is>
      </c>
      <c r="J75" s="13" t="inlineStr">
        <is>
          <t>inferred</t>
        </is>
      </c>
      <c r="K75" s="13" t="inlineStr">
        <is>
          <t>CAAR/Del/Mitsubishi/43/2025</t>
        </is>
      </c>
      <c r="L75" s="14" t="inlineStr">
        <is>
          <t>https://www.cbic.gov.in/content/pdf/CONTENTREPO/CAAR/car-del-43-06082025.pdf</t>
        </is>
      </c>
      <c r="M75" s="13" t="inlineStr">
        <is>
          <t>YES</t>
        </is>
      </c>
    </row>
    <row r="76">
      <c r="A76" s="13" t="inlineStr">
        <is>
          <t>Delhi Rulings</t>
        </is>
      </c>
      <c r="B76" s="13" t="inlineStr">
        <is>
          <t>8</t>
        </is>
      </c>
      <c r="C76" s="13" t="inlineStr">
        <is>
          <t>72</t>
        </is>
      </c>
      <c r="D76" s="13" t="inlineStr">
        <is>
          <t>M/s Amazon Wholesale India Private Limited</t>
        </is>
      </c>
      <c r="E76" s="13" t="inlineStr">
        <is>
          <t>11-04-2025</t>
        </is>
      </c>
      <c r="F76" s="13" t="inlineStr">
        <is>
          <t>28-07-2025</t>
        </is>
      </c>
      <c r="G76" s="13" t="inlineStr">
        <is>
          <t>2025</t>
        </is>
      </c>
      <c r="H76" s="13" t="inlineStr">
        <is>
          <t>Import of ‘Electronic Display Device’ (E-Reader) (Kindle Colorsoft), Model No. SA58CB</t>
        </is>
      </c>
      <c r="I76" s="13" t="inlineStr">
        <is>
          <t>Classification</t>
        </is>
      </c>
      <c r="J76" s="13" t="inlineStr">
        <is>
          <t>inferred</t>
        </is>
      </c>
      <c r="K76" s="13" t="inlineStr">
        <is>
          <t>CAAR/Del/Amazon/42/2025</t>
        </is>
      </c>
      <c r="L76" s="13" t="inlineStr"/>
      <c r="M76" s="13" t="inlineStr">
        <is>
          <t>NO</t>
        </is>
      </c>
    </row>
    <row r="77">
      <c r="A77" s="13" t="inlineStr">
        <is>
          <t>Delhi Rulings</t>
        </is>
      </c>
      <c r="B77" s="13" t="inlineStr">
        <is>
          <t>8</t>
        </is>
      </c>
      <c r="C77" s="13" t="inlineStr">
        <is>
          <t>73</t>
        </is>
      </c>
      <c r="D77" s="13" t="inlineStr">
        <is>
          <t>M/s Sun Max Solar Pvt Ltd</t>
        </is>
      </c>
      <c r="E77" s="13" t="inlineStr">
        <is>
          <t>21.11.2024</t>
        </is>
      </c>
      <c r="F77" s="13" t="inlineStr">
        <is>
          <t>24.07.2025</t>
        </is>
      </c>
      <c r="G77" s="13" t="inlineStr">
        <is>
          <t>2025</t>
        </is>
      </c>
      <c r="H77" s="13" t="inlineStr">
        <is>
          <t>Utility interconnected photovoltaic Inverte</t>
        </is>
      </c>
      <c r="I77" s="13" t="inlineStr">
        <is>
          <t>Classification</t>
        </is>
      </c>
      <c r="J77" s="13" t="inlineStr">
        <is>
          <t>inferred</t>
        </is>
      </c>
      <c r="K77" s="13" t="inlineStr">
        <is>
          <t>CAAR/Del/Sunmax/41/2025</t>
        </is>
      </c>
      <c r="L77" s="14" t="inlineStr">
        <is>
          <t>https://www.cbic.gov.in/content/pdf/CONTENTREPO/VPNcontents/CAAR/caar-del-41-25092025.pdf</t>
        </is>
      </c>
      <c r="M77" s="13" t="inlineStr">
        <is>
          <t>YES</t>
        </is>
      </c>
    </row>
    <row r="78">
      <c r="A78" s="13" t="inlineStr">
        <is>
          <t>Delhi Rulings</t>
        </is>
      </c>
      <c r="B78" s="13" t="inlineStr">
        <is>
          <t>8</t>
        </is>
      </c>
      <c r="C78" s="13" t="inlineStr">
        <is>
          <t>74</t>
        </is>
      </c>
      <c r="D78" s="13" t="inlineStr">
        <is>
          <t>M/s Amazon Wholesale India Private Limited</t>
        </is>
      </c>
      <c r="E78" s="13" t="inlineStr">
        <is>
          <t>12.03.2025</t>
        </is>
      </c>
      <c r="F78" s="13" t="inlineStr">
        <is>
          <t>20.06.2025</t>
        </is>
      </c>
      <c r="G78" s="13" t="inlineStr">
        <is>
          <t>2025</t>
        </is>
      </c>
      <c r="H78" s="13" t="inlineStr">
        <is>
          <t>Import of "4K Streaming Media Player [Model No. CL32P4] (Fire TV Stick 4K Select)" with Alexa voice</t>
        </is>
      </c>
      <c r="I78" s="13" t="inlineStr">
        <is>
          <t>Classification</t>
        </is>
      </c>
      <c r="J78" s="13" t="inlineStr">
        <is>
          <t>inferred</t>
        </is>
      </c>
      <c r="K78" s="13" t="inlineStr">
        <is>
          <t>CAAR/Del/Amazon/35/2025</t>
        </is>
      </c>
      <c r="L78" s="13" t="inlineStr"/>
      <c r="M78" s="13" t="inlineStr">
        <is>
          <t>NO</t>
        </is>
      </c>
    </row>
    <row r="79">
      <c r="A79" s="13" t="inlineStr">
        <is>
          <t>Delhi Rulings</t>
        </is>
      </c>
      <c r="B79" s="13" t="inlineStr">
        <is>
          <t>8</t>
        </is>
      </c>
      <c r="C79" s="13" t="inlineStr">
        <is>
          <t>75</t>
        </is>
      </c>
      <c r="D79" s="13" t="inlineStr">
        <is>
          <t>M/s Amazon Wholesale India Private Limited</t>
        </is>
      </c>
      <c r="E79" s="13" t="inlineStr">
        <is>
          <t>12.03.2025</t>
        </is>
      </c>
      <c r="F79" s="13" t="inlineStr">
        <is>
          <t>20.06.2025</t>
        </is>
      </c>
      <c r="G79" s="13" t="inlineStr">
        <is>
          <t>2025</t>
        </is>
      </c>
      <c r="H79" s="13" t="inlineStr">
        <is>
          <t>Import of "4K Streaming Media Player [Model No. CL32P4] (Fire TV Stick 4K Select)" with Alexa voice</t>
        </is>
      </c>
      <c r="I79" s="13" t="inlineStr">
        <is>
          <t>Classification</t>
        </is>
      </c>
      <c r="J79" s="13" t="inlineStr">
        <is>
          <t>inferred</t>
        </is>
      </c>
      <c r="K79" s="13" t="inlineStr">
        <is>
          <t>CAAR/Del/Amazon/35/2025</t>
        </is>
      </c>
      <c r="L79" s="13" t="inlineStr"/>
      <c r="M79" s="13" t="inlineStr">
        <is>
          <t>NO</t>
        </is>
      </c>
    </row>
    <row r="80">
      <c r="A80" s="13" t="inlineStr">
        <is>
          <t>Delhi Rulings</t>
        </is>
      </c>
      <c r="B80" s="13" t="inlineStr">
        <is>
          <t>8</t>
        </is>
      </c>
      <c r="C80" s="13" t="inlineStr">
        <is>
          <t>76</t>
        </is>
      </c>
      <c r="D80" s="13" t="inlineStr">
        <is>
          <t>M/s Amazon Wholesale India Private Limited</t>
        </is>
      </c>
      <c r="E80" s="13" t="inlineStr">
        <is>
          <t>13.12.2024</t>
        </is>
      </c>
      <c r="F80" s="13" t="inlineStr">
        <is>
          <t>20.06.2025</t>
        </is>
      </c>
      <c r="G80" s="13" t="inlineStr">
        <is>
          <t>2025</t>
        </is>
      </c>
      <c r="H80" s="13" t="inlineStr">
        <is>
          <t>EchoShow 5(3rd Generation), Model No. H97N6S</t>
        </is>
      </c>
      <c r="I80" s="13" t="inlineStr">
        <is>
          <t>Classification</t>
        </is>
      </c>
      <c r="J80" s="13" t="inlineStr">
        <is>
          <t>inferred</t>
        </is>
      </c>
      <c r="K80" s="13" t="inlineStr">
        <is>
          <t>CAAR/Del/Amazon/34/2025</t>
        </is>
      </c>
      <c r="L80" s="13" t="inlineStr"/>
      <c r="M80" s="13" t="inlineStr">
        <is>
          <t>NO</t>
        </is>
      </c>
    </row>
    <row r="81">
      <c r="A81" s="13" t="inlineStr">
        <is>
          <t>Delhi Rulings</t>
        </is>
      </c>
      <c r="B81" s="13" t="inlineStr">
        <is>
          <t>8</t>
        </is>
      </c>
      <c r="C81" s="13" t="inlineStr">
        <is>
          <t>77</t>
        </is>
      </c>
      <c r="D81" s="13" t="inlineStr">
        <is>
          <t>M/s Amazon Wholesale India Private Limited</t>
        </is>
      </c>
      <c r="E81" s="13" t="inlineStr">
        <is>
          <t>13.12.2024</t>
        </is>
      </c>
      <c r="F81" s="13" t="inlineStr">
        <is>
          <t>20.06.2025</t>
        </is>
      </c>
      <c r="G81" s="13" t="inlineStr">
        <is>
          <t>2025</t>
        </is>
      </c>
      <c r="H81" s="13" t="inlineStr">
        <is>
          <t>EchoShow 5(3rd Generation), Model No. H97N6S</t>
        </is>
      </c>
      <c r="I81" s="13" t="inlineStr">
        <is>
          <t>Classification</t>
        </is>
      </c>
      <c r="J81" s="13" t="inlineStr">
        <is>
          <t>inferred</t>
        </is>
      </c>
      <c r="K81" s="13" t="inlineStr">
        <is>
          <t>CAAR/Del/Amazon/34/2025</t>
        </is>
      </c>
      <c r="L81" s="13" t="inlineStr"/>
      <c r="M81" s="13" t="inlineStr">
        <is>
          <t>NO</t>
        </is>
      </c>
    </row>
    <row r="82">
      <c r="A82" s="13" t="inlineStr">
        <is>
          <t>Delhi Rulings</t>
        </is>
      </c>
      <c r="B82" s="13" t="inlineStr">
        <is>
          <t>8</t>
        </is>
      </c>
      <c r="C82" s="13" t="inlineStr">
        <is>
          <t>78</t>
        </is>
      </c>
      <c r="D82" s="13" t="inlineStr">
        <is>
          <t>M/s Amazon Wholesale India Private Limited</t>
        </is>
      </c>
      <c r="E82" s="13" t="inlineStr">
        <is>
          <t>16.12.2024</t>
        </is>
      </c>
      <c r="F82" s="13" t="inlineStr">
        <is>
          <t>20.06.2025</t>
        </is>
      </c>
      <c r="G82" s="13" t="inlineStr">
        <is>
          <t>2025</t>
        </is>
      </c>
      <c r="H82" s="13" t="inlineStr">
        <is>
          <t>Alexa Voice remote, Model No. PA38CA</t>
        </is>
      </c>
      <c r="I82" s="13" t="inlineStr">
        <is>
          <t>Classification</t>
        </is>
      </c>
      <c r="J82" s="13" t="inlineStr">
        <is>
          <t>inferred</t>
        </is>
      </c>
      <c r="K82" s="13" t="inlineStr">
        <is>
          <t>CAAR/Del/Amazon/32/2025</t>
        </is>
      </c>
      <c r="L82" s="13" t="inlineStr"/>
      <c r="M82" s="13" t="inlineStr">
        <is>
          <t>NO</t>
        </is>
      </c>
    </row>
    <row r="83">
      <c r="A83" s="13" t="inlineStr">
        <is>
          <t>Delhi Rulings</t>
        </is>
      </c>
      <c r="B83" s="13" t="inlineStr">
        <is>
          <t>8</t>
        </is>
      </c>
      <c r="C83" s="13" t="inlineStr">
        <is>
          <t>79</t>
        </is>
      </c>
      <c r="D83" s="13" t="inlineStr">
        <is>
          <t>M/s Aptiv Component India Private Limited</t>
        </is>
      </c>
      <c r="E83" s="13" t="inlineStr">
        <is>
          <t>22.01.2025</t>
        </is>
      </c>
      <c r="F83" s="13" t="inlineStr">
        <is>
          <t>04.06.2025</t>
        </is>
      </c>
      <c r="G83" s="13" t="inlineStr">
        <is>
          <t>2025</t>
        </is>
      </c>
      <c r="H83" s="13" t="inlineStr">
        <is>
          <t>Import of Electromagnetic Interference Filter</t>
        </is>
      </c>
      <c r="I83" s="13" t="inlineStr">
        <is>
          <t>Classification</t>
        </is>
      </c>
      <c r="J83" s="13" t="inlineStr">
        <is>
          <t>inferred</t>
        </is>
      </c>
      <c r="K83" s="13" t="inlineStr">
        <is>
          <t>CAAR/Del/Aptiv/31/2025</t>
        </is>
      </c>
      <c r="L83" s="13" t="inlineStr"/>
      <c r="M83" s="13" t="inlineStr">
        <is>
          <t>NO</t>
        </is>
      </c>
    </row>
    <row r="84">
      <c r="A84" s="13" t="inlineStr">
        <is>
          <t>Delhi Rulings</t>
        </is>
      </c>
      <c r="B84" s="13" t="inlineStr">
        <is>
          <t>8</t>
        </is>
      </c>
      <c r="C84" s="13" t="inlineStr">
        <is>
          <t>80</t>
        </is>
      </c>
      <c r="D84" s="13" t="inlineStr">
        <is>
          <t>M/s Wabtec Locomotive Private Limited</t>
        </is>
      </c>
      <c r="E84" s="13" t="inlineStr">
        <is>
          <t>06.02.2025</t>
        </is>
      </c>
      <c r="F84" s="13" t="inlineStr">
        <is>
          <t>04.06.2025</t>
        </is>
      </c>
      <c r="G84" s="13" t="inlineStr">
        <is>
          <t>2025</t>
        </is>
      </c>
      <c r="H84" s="13" t="inlineStr">
        <is>
          <t>Import of raw materials for manufacturing of locomotives</t>
        </is>
      </c>
      <c r="I84" s="13" t="inlineStr">
        <is>
          <t>Classification</t>
        </is>
      </c>
      <c r="J84" s="13" t="inlineStr">
        <is>
          <t>inferred</t>
        </is>
      </c>
      <c r="K84" s="13" t="inlineStr">
        <is>
          <t>CAAR/Del/Wabtec/30/2025</t>
        </is>
      </c>
      <c r="L84" s="14" t="inlineStr">
        <is>
          <t>https://www.cbic.gov.in/content/pdf/CONTENTREPO/CAAR/del-webtec-11062025.pdf</t>
        </is>
      </c>
      <c r="M84" s="13" t="inlineStr">
        <is>
          <t>YES</t>
        </is>
      </c>
    </row>
    <row r="85">
      <c r="A85" s="13" t="inlineStr">
        <is>
          <t>Delhi Rulings</t>
        </is>
      </c>
      <c r="B85" s="13" t="inlineStr">
        <is>
          <t>9</t>
        </is>
      </c>
      <c r="C85" s="13" t="inlineStr">
        <is>
          <t>81</t>
        </is>
      </c>
      <c r="D85" s="13" t="inlineStr">
        <is>
          <t>M/s Vivo Mobile India Pvt. Ltd</t>
        </is>
      </c>
      <c r="E85" s="13" t="inlineStr">
        <is>
          <t>26.11.2024</t>
        </is>
      </c>
      <c r="F85" s="13" t="inlineStr">
        <is>
          <t>20.05.2025</t>
        </is>
      </c>
      <c r="G85" s="13" t="inlineStr">
        <is>
          <t>2025</t>
        </is>
      </c>
      <c r="H85" s="13" t="inlineStr">
        <is>
          <t>Import of FPC board</t>
        </is>
      </c>
      <c r="I85" s="13" t="inlineStr">
        <is>
          <t>Classification</t>
        </is>
      </c>
      <c r="J85" s="13" t="inlineStr">
        <is>
          <t>inferred</t>
        </is>
      </c>
      <c r="K85" s="13" t="inlineStr">
        <is>
          <t>CAAR/Del/Vivo Mobile/29/2025</t>
        </is>
      </c>
      <c r="L85" s="14" t="inlineStr">
        <is>
          <t>https://www.cbic.gov.in/content/pdf/CONTENTREPO/CAAR/del-vivo-11062025.pdf</t>
        </is>
      </c>
      <c r="M85" s="13" t="inlineStr">
        <is>
          <t>YES</t>
        </is>
      </c>
    </row>
    <row r="86">
      <c r="A86" s="13" t="inlineStr">
        <is>
          <t>Delhi Rulings</t>
        </is>
      </c>
      <c r="B86" s="13" t="inlineStr">
        <is>
          <t>9</t>
        </is>
      </c>
      <c r="C86" s="13" t="inlineStr">
        <is>
          <t>82</t>
        </is>
      </c>
      <c r="D86" s="13" t="inlineStr">
        <is>
          <t>M/s Canon India Pvt Ltd</t>
        </is>
      </c>
      <c r="E86" s="13" t="inlineStr">
        <is>
          <t>27.11.2024</t>
        </is>
      </c>
      <c r="F86" s="13" t="inlineStr">
        <is>
          <t>20.05.2025</t>
        </is>
      </c>
      <c r="G86" s="13" t="inlineStr">
        <is>
          <t>2025</t>
        </is>
      </c>
      <c r="H86" s="13" t="inlineStr">
        <is>
          <t>Import of Canon Caera Model NO. K 516 (DS126941)</t>
        </is>
      </c>
      <c r="I86" s="13" t="inlineStr">
        <is>
          <t>Classification</t>
        </is>
      </c>
      <c r="J86" s="13" t="inlineStr">
        <is>
          <t>inferred</t>
        </is>
      </c>
      <c r="K86" s="13" t="inlineStr">
        <is>
          <t>CAAR/Del/Canon/28/2025</t>
        </is>
      </c>
      <c r="L86" s="13" t="inlineStr"/>
      <c r="M86" s="13" t="inlineStr">
        <is>
          <t>NO</t>
        </is>
      </c>
    </row>
    <row r="87">
      <c r="A87" s="13" t="inlineStr">
        <is>
          <t>Delhi Rulings</t>
        </is>
      </c>
      <c r="B87" s="13" t="inlineStr">
        <is>
          <t>9</t>
        </is>
      </c>
      <c r="C87" s="13" t="inlineStr">
        <is>
          <t>83</t>
        </is>
      </c>
      <c r="D87" s="13" t="inlineStr">
        <is>
          <t>M/s Aptiv Component India Private limited</t>
        </is>
      </c>
      <c r="E87" s="13" t="inlineStr">
        <is>
          <t>22.01.2025</t>
        </is>
      </c>
      <c r="F87" s="13" t="inlineStr">
        <is>
          <t>07.05.2025</t>
        </is>
      </c>
      <c r="G87" s="13" t="inlineStr">
        <is>
          <t>2025</t>
        </is>
      </c>
      <c r="H87" s="13" t="inlineStr">
        <is>
          <t>Chock Coils</t>
        </is>
      </c>
      <c r="I87" s="13" t="inlineStr">
        <is>
          <t>Classification</t>
        </is>
      </c>
      <c r="J87" s="13" t="inlineStr">
        <is>
          <t>inferred</t>
        </is>
      </c>
      <c r="K87" s="13" t="inlineStr">
        <is>
          <t>CAAR/Del/Aptiv/27/2025</t>
        </is>
      </c>
      <c r="L87" s="14" t="inlineStr">
        <is>
          <t>https://www.cbic.gov.in/content/pdf/CONTENTREPO/CAAR/caar-del-aptiv-27-14052025.pdf</t>
        </is>
      </c>
      <c r="M87" s="13" t="inlineStr">
        <is>
          <t>YES</t>
        </is>
      </c>
    </row>
    <row r="88">
      <c r="A88" s="13" t="inlineStr">
        <is>
          <t>Delhi Rulings</t>
        </is>
      </c>
      <c r="B88" s="13" t="inlineStr">
        <is>
          <t>9</t>
        </is>
      </c>
      <c r="C88" s="13" t="inlineStr">
        <is>
          <t>84</t>
        </is>
      </c>
      <c r="D88" s="13" t="inlineStr">
        <is>
          <t>M/s Aptiv Component India Private limited</t>
        </is>
      </c>
      <c r="E88" s="13" t="inlineStr">
        <is>
          <t>22.01.2025</t>
        </is>
      </c>
      <c r="F88" s="13" t="inlineStr">
        <is>
          <t>07.05.2025</t>
        </is>
      </c>
      <c r="G88" s="13" t="inlineStr">
        <is>
          <t>2025</t>
        </is>
      </c>
      <c r="H88" s="13" t="inlineStr">
        <is>
          <t>Ferrite Beads</t>
        </is>
      </c>
      <c r="I88" s="13" t="inlineStr">
        <is>
          <t>Classification</t>
        </is>
      </c>
      <c r="J88" s="13" t="inlineStr">
        <is>
          <t>inferred</t>
        </is>
      </c>
      <c r="K88" s="13" t="inlineStr">
        <is>
          <t>CAAR/Del/Aptiv/26/2025</t>
        </is>
      </c>
      <c r="L88" s="14" t="inlineStr">
        <is>
          <t>https://www.cbic.gov.in/content/pdf/CONTENTREPO/CAAR/caar-del-aptiv-26-14052025.pdf</t>
        </is>
      </c>
      <c r="M88" s="13" t="inlineStr">
        <is>
          <t>YES</t>
        </is>
      </c>
    </row>
    <row r="89">
      <c r="A89" s="13" t="inlineStr">
        <is>
          <t>Delhi Rulings</t>
        </is>
      </c>
      <c r="B89" s="13" t="inlineStr">
        <is>
          <t>9</t>
        </is>
      </c>
      <c r="C89" s="13" t="inlineStr">
        <is>
          <t>85</t>
        </is>
      </c>
      <c r="D89" s="13" t="inlineStr">
        <is>
          <t>M/s Star Enterprises</t>
        </is>
      </c>
      <c r="E89" s="13" t="inlineStr">
        <is>
          <t>16-12-2024</t>
        </is>
      </c>
      <c r="F89" s="13" t="inlineStr">
        <is>
          <t>18-02-2025</t>
        </is>
      </c>
      <c r="G89" s="13" t="inlineStr">
        <is>
          <t>2025</t>
        </is>
      </c>
      <c r="H89" s="13" t="inlineStr">
        <is>
          <t>Provisional Preserved Areca nut (Whole) and Provisional Preserved Areca Nut (Split)</t>
        </is>
      </c>
      <c r="I89" s="13" t="inlineStr">
        <is>
          <t>Classification</t>
        </is>
      </c>
      <c r="J89" s="13" t="inlineStr">
        <is>
          <t>inferred</t>
        </is>
      </c>
      <c r="K89" s="13" t="inlineStr">
        <is>
          <t>CAAR/Del/Star/25/2025</t>
        </is>
      </c>
      <c r="L89" s="14" t="inlineStr">
        <is>
          <t>https://www.cbic.gov.in/content/pdf/CONTENTREPO/CAAR/caar-del-star-25-21022025.pdf</t>
        </is>
      </c>
      <c r="M89" s="13" t="inlineStr">
        <is>
          <t>YES</t>
        </is>
      </c>
    </row>
    <row r="90">
      <c r="A90" s="13" t="inlineStr">
        <is>
          <t>Delhi Rulings</t>
        </is>
      </c>
      <c r="B90" s="13" t="inlineStr">
        <is>
          <t>9</t>
        </is>
      </c>
      <c r="C90" s="13" t="inlineStr">
        <is>
          <t>86</t>
        </is>
      </c>
      <c r="D90" s="13" t="inlineStr">
        <is>
          <t>M/s Star Enterprises</t>
        </is>
      </c>
      <c r="E90" s="13" t="inlineStr">
        <is>
          <t>16-12-2024</t>
        </is>
      </c>
      <c r="F90" s="13" t="inlineStr">
        <is>
          <t>18-02-2025</t>
        </is>
      </c>
      <c r="G90" s="13" t="inlineStr">
        <is>
          <t>2025</t>
        </is>
      </c>
      <c r="H90" s="13" t="inlineStr">
        <is>
          <t>Provisional Preserved Areca nut (Whole) and Provisional Preserved Areca Nut (Split)</t>
        </is>
      </c>
      <c r="I90" s="13" t="inlineStr">
        <is>
          <t>Classification</t>
        </is>
      </c>
      <c r="J90" s="13" t="inlineStr">
        <is>
          <t>inferred</t>
        </is>
      </c>
      <c r="K90" s="13" t="inlineStr">
        <is>
          <t>CAAR/Del/Star/24/2025</t>
        </is>
      </c>
      <c r="L90" s="14" t="inlineStr">
        <is>
          <t>https://www.cbic.gov.in/content/pdf/CONTENTREPO/CAAR/caar-del-star-24-21022025.pdf</t>
        </is>
      </c>
      <c r="M90" s="13" t="inlineStr">
        <is>
          <t>YES</t>
        </is>
      </c>
    </row>
    <row r="91">
      <c r="A91" s="13" t="inlineStr">
        <is>
          <t>Delhi Rulings</t>
        </is>
      </c>
      <c r="B91" s="13" t="inlineStr">
        <is>
          <t>9</t>
        </is>
      </c>
      <c r="C91" s="13" t="inlineStr">
        <is>
          <t>87</t>
        </is>
      </c>
      <c r="D91" s="13" t="inlineStr">
        <is>
          <t>M/s Star Enterprises</t>
        </is>
      </c>
      <c r="E91" s="13" t="inlineStr">
        <is>
          <t>16-12-2024</t>
        </is>
      </c>
      <c r="F91" s="13" t="inlineStr">
        <is>
          <t>18-02-2025</t>
        </is>
      </c>
      <c r="G91" s="13" t="inlineStr">
        <is>
          <t>2025</t>
        </is>
      </c>
      <c r="H91" s="13" t="inlineStr">
        <is>
          <t>Provisional Preserved Areca nut (Whole) and Provisional Preserved Areca Nut (Split)</t>
        </is>
      </c>
      <c r="I91" s="13" t="inlineStr">
        <is>
          <t>Classification</t>
        </is>
      </c>
      <c r="J91" s="13" t="inlineStr">
        <is>
          <t>inferred</t>
        </is>
      </c>
      <c r="K91" s="13" t="inlineStr">
        <is>
          <t>CAAR/Del/Star/23/2025</t>
        </is>
      </c>
      <c r="L91" s="14" t="inlineStr">
        <is>
          <t>https://www.cbic.gov.in/content/pdf/CONTENTREPO/CAAR/caar-del-star-23-21022025.pdf</t>
        </is>
      </c>
      <c r="M91" s="13" t="inlineStr">
        <is>
          <t>YES</t>
        </is>
      </c>
    </row>
    <row r="92">
      <c r="A92" s="13" t="inlineStr">
        <is>
          <t>Delhi Rulings</t>
        </is>
      </c>
      <c r="B92" s="13" t="inlineStr">
        <is>
          <t>9</t>
        </is>
      </c>
      <c r="C92" s="13" t="inlineStr">
        <is>
          <t>88</t>
        </is>
      </c>
      <c r="D92" s="13" t="inlineStr">
        <is>
          <t>M/s Akam Impex</t>
        </is>
      </c>
      <c r="E92" s="13" t="inlineStr">
        <is>
          <t>13.12.2024</t>
        </is>
      </c>
      <c r="F92" s="13" t="inlineStr">
        <is>
          <t>18.02.2025</t>
        </is>
      </c>
      <c r="G92" s="13" t="inlineStr">
        <is>
          <t>2025</t>
        </is>
      </c>
      <c r="H92" s="13" t="inlineStr">
        <is>
          <t>Provisional Preserved Areca nut (Whole) and Provisional Preserved Areca Nut (Split)</t>
        </is>
      </c>
      <c r="I92" s="13" t="inlineStr">
        <is>
          <t>Classification</t>
        </is>
      </c>
      <c r="J92" s="13" t="inlineStr">
        <is>
          <t>inferred</t>
        </is>
      </c>
      <c r="K92" s="13" t="inlineStr">
        <is>
          <t>CAAR/Del/AKAM/22/2025</t>
        </is>
      </c>
      <c r="L92" s="14" t="inlineStr">
        <is>
          <t>https://www.cbic.gov.in/content/pdf/CONTENTREPO/CAAR/caar-delhi-rul-22-21022025.pdf</t>
        </is>
      </c>
      <c r="M92" s="13" t="inlineStr">
        <is>
          <t>YES</t>
        </is>
      </c>
    </row>
    <row r="93">
      <c r="A93" s="13" t="inlineStr">
        <is>
          <t>Delhi Rulings</t>
        </is>
      </c>
      <c r="B93" s="13" t="inlineStr">
        <is>
          <t>9</t>
        </is>
      </c>
      <c r="C93" s="13" t="inlineStr">
        <is>
          <t>89</t>
        </is>
      </c>
      <c r="D93" s="13" t="inlineStr">
        <is>
          <t>M/s Akam Impex</t>
        </is>
      </c>
      <c r="E93" s="13" t="inlineStr">
        <is>
          <t>13.12.2024</t>
        </is>
      </c>
      <c r="F93" s="13" t="inlineStr">
        <is>
          <t>18.02.2025</t>
        </is>
      </c>
      <c r="G93" s="13" t="inlineStr">
        <is>
          <t>2025</t>
        </is>
      </c>
      <c r="H93" s="13" t="inlineStr">
        <is>
          <t>Provisional Preserved Areca nut (Whole) and Provisional Preserved Areca Nut (Split)</t>
        </is>
      </c>
      <c r="I93" s="13" t="inlineStr">
        <is>
          <t>Classification</t>
        </is>
      </c>
      <c r="J93" s="13" t="inlineStr">
        <is>
          <t>inferred</t>
        </is>
      </c>
      <c r="K93" s="13" t="inlineStr">
        <is>
          <t>CAAR/Del/AKAM/21/2025</t>
        </is>
      </c>
      <c r="L93" s="14" t="inlineStr">
        <is>
          <t>https://www.cbic.gov.in/content/pdf/CONTENTREPO/CAAR/caar-delhi-rul-21-21022025.pdf</t>
        </is>
      </c>
      <c r="M93" s="13" t="inlineStr">
        <is>
          <t>YES</t>
        </is>
      </c>
    </row>
    <row r="94">
      <c r="A94" s="13" t="inlineStr">
        <is>
          <t>Delhi Rulings</t>
        </is>
      </c>
      <c r="B94" s="13" t="inlineStr">
        <is>
          <t>9</t>
        </is>
      </c>
      <c r="C94" s="13" t="inlineStr">
        <is>
          <t>90</t>
        </is>
      </c>
      <c r="D94" s="13" t="inlineStr">
        <is>
          <t>M/s Perfect Trading Co.</t>
        </is>
      </c>
      <c r="E94" s="13" t="inlineStr">
        <is>
          <t>11.10.2024</t>
        </is>
      </c>
      <c r="F94" s="13" t="inlineStr">
        <is>
          <t>03.02.2025</t>
        </is>
      </c>
      <c r="G94" s="13" t="inlineStr">
        <is>
          <t>2025</t>
        </is>
      </c>
      <c r="H94" s="13" t="inlineStr">
        <is>
          <t>Defatted Coconut Powder</t>
        </is>
      </c>
      <c r="I94" s="13" t="inlineStr">
        <is>
          <t>Classification</t>
        </is>
      </c>
      <c r="J94" s="13" t="inlineStr">
        <is>
          <t>inferred</t>
        </is>
      </c>
      <c r="K94" s="13" t="inlineStr">
        <is>
          <t>CAAR/Del/Perfect/20/2025</t>
        </is>
      </c>
      <c r="L94" s="13" t="inlineStr"/>
      <c r="M94" s="13" t="inlineStr">
        <is>
          <t>NO</t>
        </is>
      </c>
    </row>
    <row r="95">
      <c r="A95" s="13" t="inlineStr">
        <is>
          <t>Delhi Rulings</t>
        </is>
      </c>
      <c r="B95" s="13" t="inlineStr">
        <is>
          <t>10</t>
        </is>
      </c>
      <c r="C95" s="13" t="inlineStr">
        <is>
          <t>91</t>
        </is>
      </c>
      <c r="D95" s="13" t="inlineStr">
        <is>
          <t>M/s Clarion India Private Limited</t>
        </is>
      </c>
      <c r="E95" s="13" t="inlineStr">
        <is>
          <t>24.09.2024</t>
        </is>
      </c>
      <c r="F95" s="13" t="inlineStr">
        <is>
          <t>24.01.2025</t>
        </is>
      </c>
      <c r="G95" s="13" t="inlineStr">
        <is>
          <t>2025</t>
        </is>
      </c>
      <c r="H95" s="13" t="inlineStr">
        <is>
          <t>LCD panel, Touch Screen and Printed Circuit Boards</t>
        </is>
      </c>
      <c r="I95" s="13" t="inlineStr">
        <is>
          <t>Classification</t>
        </is>
      </c>
      <c r="J95" s="13" t="inlineStr">
        <is>
          <t>inferred</t>
        </is>
      </c>
      <c r="K95" s="13" t="inlineStr">
        <is>
          <t>CAAR/Del/Clarion/19/2025</t>
        </is>
      </c>
      <c r="L95" s="14" t="inlineStr">
        <is>
          <t>https://www.cbic.gov.in/content/pdf/CONTENTREPO/CAAR/caar-del-clarion-19-28012025.pdf</t>
        </is>
      </c>
      <c r="M95" s="13" t="inlineStr">
        <is>
          <t>YES</t>
        </is>
      </c>
    </row>
    <row r="96">
      <c r="A96" s="13" t="inlineStr">
        <is>
          <t>Delhi Rulings</t>
        </is>
      </c>
      <c r="B96" s="13" t="inlineStr">
        <is>
          <t>10</t>
        </is>
      </c>
      <c r="C96" s="13" t="inlineStr">
        <is>
          <t>92</t>
        </is>
      </c>
      <c r="D96" s="13" t="inlineStr">
        <is>
          <t>M/s Amazon Wholesale India Private Limited</t>
        </is>
      </c>
      <c r="E96" s="13" t="inlineStr">
        <is>
          <t>30.10.2024</t>
        </is>
      </c>
      <c r="F96" s="13" t="inlineStr">
        <is>
          <t>24.01.2025</t>
        </is>
      </c>
      <c r="G96" s="13" t="inlineStr">
        <is>
          <t>2025</t>
        </is>
      </c>
      <c r="H96" s="13" t="inlineStr">
        <is>
          <t>Import of “Electronic Display Device (E-Reader) (Kindle Paperwhite Gen12) Model No. SA568B)"</t>
        </is>
      </c>
      <c r="I96" s="13" t="inlineStr">
        <is>
          <t>Classification</t>
        </is>
      </c>
      <c r="J96" s="13" t="inlineStr">
        <is>
          <t>inferred</t>
        </is>
      </c>
      <c r="K96" s="13" t="inlineStr">
        <is>
          <t>CAAR/Del/Amazon/18/2025</t>
        </is>
      </c>
      <c r="L96" s="13" t="inlineStr"/>
      <c r="M96" s="13" t="inlineStr">
        <is>
          <t>NO</t>
        </is>
      </c>
    </row>
    <row r="97">
      <c r="A97" s="13" t="inlineStr">
        <is>
          <t>Delhi Rulings</t>
        </is>
      </c>
      <c r="B97" s="13" t="inlineStr">
        <is>
          <t>10</t>
        </is>
      </c>
      <c r="C97" s="13" t="inlineStr">
        <is>
          <t>93</t>
        </is>
      </c>
      <c r="D97" s="13" t="inlineStr">
        <is>
          <t>M/s Apple Operations International (Ltd.)</t>
        </is>
      </c>
      <c r="E97" s="13" t="inlineStr">
        <is>
          <t>09-10-2024</t>
        </is>
      </c>
      <c r="F97" s="13" t="inlineStr">
        <is>
          <t>23.01.2025</t>
        </is>
      </c>
      <c r="G97" s="13" t="inlineStr">
        <is>
          <t>2025</t>
        </is>
      </c>
      <c r="H97" s="13" t="inlineStr">
        <is>
          <t>Export of “Rear camera Integrated Module Subassembly" (product)</t>
        </is>
      </c>
      <c r="I97" s="13" t="inlineStr">
        <is>
          <t>Classification</t>
        </is>
      </c>
      <c r="J97" s="13" t="inlineStr">
        <is>
          <t>inferred</t>
        </is>
      </c>
      <c r="K97" s="13" t="inlineStr">
        <is>
          <t>CAAR/Del/Apple/17/2025</t>
        </is>
      </c>
      <c r="L97" s="14" t="inlineStr">
        <is>
          <t>https://www.cbic.gov.in/content/pdf/CONTENTREPO/CAAR/caar-del-apple-17-28012025.pdf</t>
        </is>
      </c>
      <c r="M97" s="13" t="inlineStr">
        <is>
          <t>YES</t>
        </is>
      </c>
    </row>
    <row r="98">
      <c r="A98" s="13" t="inlineStr">
        <is>
          <t>Delhi Rulings</t>
        </is>
      </c>
      <c r="B98" s="13" t="inlineStr">
        <is>
          <t>10</t>
        </is>
      </c>
      <c r="C98" s="13" t="inlineStr">
        <is>
          <t>94</t>
        </is>
      </c>
      <c r="D98" s="13" t="inlineStr">
        <is>
          <t>M/s Apple Operations International (Ltd.)</t>
        </is>
      </c>
      <c r="E98" s="13" t="inlineStr">
        <is>
          <t>09-10-2024</t>
        </is>
      </c>
      <c r="F98" s="13" t="inlineStr">
        <is>
          <t>23.01.2025</t>
        </is>
      </c>
      <c r="G98" s="13" t="inlineStr">
        <is>
          <t>2025</t>
        </is>
      </c>
      <c r="H98" s="13" t="inlineStr">
        <is>
          <t>Export of “Pearl Assembly Module Subassembly" (product)</t>
        </is>
      </c>
      <c r="I98" s="13" t="inlineStr">
        <is>
          <t>Classification</t>
        </is>
      </c>
      <c r="J98" s="13" t="inlineStr">
        <is>
          <t>inferred</t>
        </is>
      </c>
      <c r="K98" s="13" t="inlineStr">
        <is>
          <t>CAAR/Del/Apple/16/2025</t>
        </is>
      </c>
      <c r="L98" s="14" t="inlineStr">
        <is>
          <t>https://www.cbic.gov.in/content/pdf/CONTENTREPO/CAAR/caar-del-apple-16-28012025.pdf</t>
        </is>
      </c>
      <c r="M98" s="13" t="inlineStr">
        <is>
          <t>YES</t>
        </is>
      </c>
    </row>
    <row r="99">
      <c r="A99" s="13" t="inlineStr">
        <is>
          <t>Delhi Rulings</t>
        </is>
      </c>
      <c r="B99" s="13" t="inlineStr">
        <is>
          <t>10</t>
        </is>
      </c>
      <c r="C99" s="13" t="inlineStr">
        <is>
          <t>95</t>
        </is>
      </c>
      <c r="D99" s="13" t="inlineStr">
        <is>
          <t>M/s Apple Operations International (Ltd.)</t>
        </is>
      </c>
      <c r="E99" s="13" t="inlineStr">
        <is>
          <t>09-10-2024</t>
        </is>
      </c>
      <c r="F99" s="13" t="inlineStr">
        <is>
          <t>23.01.2025</t>
        </is>
      </c>
      <c r="G99" s="13" t="inlineStr">
        <is>
          <t>2025</t>
        </is>
      </c>
      <c r="H99" s="13" t="inlineStr">
        <is>
          <t>Export of “Pearl Assembly Module Subassembly" (product)</t>
        </is>
      </c>
      <c r="I99" s="13" t="inlineStr">
        <is>
          <t>Classification</t>
        </is>
      </c>
      <c r="J99" s="13" t="inlineStr">
        <is>
          <t>inferred</t>
        </is>
      </c>
      <c r="K99" s="13" t="inlineStr">
        <is>
          <t>CAAR/Del/Apple/15/2025</t>
        </is>
      </c>
      <c r="L99" s="14" t="inlineStr">
        <is>
          <t>https://www.cbic.gov.in/content/pdf/CONTENTREPO/CAAR/caar-del-apple-15-28012025.pdf</t>
        </is>
      </c>
      <c r="M99" s="13" t="inlineStr">
        <is>
          <t>YES</t>
        </is>
      </c>
    </row>
    <row r="100">
      <c r="A100" s="13" t="inlineStr">
        <is>
          <t>Delhi Rulings</t>
        </is>
      </c>
      <c r="B100" s="13" t="inlineStr">
        <is>
          <t>10</t>
        </is>
      </c>
      <c r="C100" s="13" t="inlineStr">
        <is>
          <t>96</t>
        </is>
      </c>
      <c r="D100" s="13" t="inlineStr">
        <is>
          <t>M/s Apple Operations International (Ltd.)</t>
        </is>
      </c>
      <c r="E100" s="13" t="inlineStr">
        <is>
          <t>09-10-2024</t>
        </is>
      </c>
      <c r="F100" s="13" t="inlineStr">
        <is>
          <t>23.01.2025</t>
        </is>
      </c>
      <c r="G100" s="13" t="inlineStr">
        <is>
          <t>2025</t>
        </is>
      </c>
      <c r="H100" s="13" t="inlineStr">
        <is>
          <t>Export of “Rear camera Integrated Module Subassembly" (product)</t>
        </is>
      </c>
      <c r="I100" s="13" t="inlineStr">
        <is>
          <t>Classification</t>
        </is>
      </c>
      <c r="J100" s="13" t="inlineStr">
        <is>
          <t>inferred</t>
        </is>
      </c>
      <c r="K100" s="13" t="inlineStr">
        <is>
          <t>CAAR/Del/Apple/14/2025</t>
        </is>
      </c>
      <c r="L100" s="14" t="inlineStr">
        <is>
          <t>https://www.cbic.gov.in/content/pdf/CONTENTREPO/CAAR/caar-del-apple-14-28012025.pdf</t>
        </is>
      </c>
      <c r="M100" s="13" t="inlineStr">
        <is>
          <t>YES</t>
        </is>
      </c>
    </row>
    <row r="101">
      <c r="A101" s="13" t="inlineStr">
        <is>
          <t>Delhi Rulings</t>
        </is>
      </c>
      <c r="B101" s="13" t="inlineStr">
        <is>
          <t>10</t>
        </is>
      </c>
      <c r="C101" s="13" t="inlineStr">
        <is>
          <t>97</t>
        </is>
      </c>
      <c r="D101" s="13" t="inlineStr">
        <is>
          <t>M/s Apple Operations International (Ltd.)</t>
        </is>
      </c>
      <c r="E101" s="13" t="inlineStr">
        <is>
          <t>09-10-2024</t>
        </is>
      </c>
      <c r="F101" s="13" t="inlineStr">
        <is>
          <t>23.01.2025</t>
        </is>
      </c>
      <c r="G101" s="13" t="inlineStr">
        <is>
          <t>2025</t>
        </is>
      </c>
      <c r="H101" s="13" t="inlineStr">
        <is>
          <t>Export of “Back Glass Subassembly" (product)</t>
        </is>
      </c>
      <c r="I101" s="13" t="inlineStr">
        <is>
          <t>Classification</t>
        </is>
      </c>
      <c r="J101" s="13" t="inlineStr">
        <is>
          <t>inferred</t>
        </is>
      </c>
      <c r="K101" s="13" t="inlineStr">
        <is>
          <t>CAAR/Del/Apple/13/2025</t>
        </is>
      </c>
      <c r="L101" s="14" t="inlineStr">
        <is>
          <t>https://www.cbic.gov.in/content/pdf/CONTENTREPO/CAAR/caar-del-apple-13-28012025.pdf</t>
        </is>
      </c>
      <c r="M101" s="13" t="inlineStr">
        <is>
          <t>YES</t>
        </is>
      </c>
    </row>
    <row r="102">
      <c r="A102" s="13" t="inlineStr">
        <is>
          <t>Delhi Rulings</t>
        </is>
      </c>
      <c r="B102" s="13" t="inlineStr">
        <is>
          <t>10</t>
        </is>
      </c>
      <c r="C102" s="13" t="inlineStr">
        <is>
          <t>98</t>
        </is>
      </c>
      <c r="D102" s="13" t="inlineStr">
        <is>
          <t>M/s Apple Operations International (Ltd.)</t>
        </is>
      </c>
      <c r="E102" s="13" t="inlineStr">
        <is>
          <t>09-10-2024</t>
        </is>
      </c>
      <c r="F102" s="13" t="inlineStr">
        <is>
          <t>23.01.2025</t>
        </is>
      </c>
      <c r="G102" s="13" t="inlineStr">
        <is>
          <t>2025</t>
        </is>
      </c>
      <c r="H102" s="13" t="inlineStr">
        <is>
          <t>Export of “housing Module" (product)</t>
        </is>
      </c>
      <c r="I102" s="13" t="inlineStr">
        <is>
          <t>Classification</t>
        </is>
      </c>
      <c r="J102" s="13" t="inlineStr">
        <is>
          <t>inferred</t>
        </is>
      </c>
      <c r="K102" s="13" t="inlineStr">
        <is>
          <t>CAAR/Del/Apple/12/2025</t>
        </is>
      </c>
      <c r="L102" s="14" t="inlineStr">
        <is>
          <t>https://www.cbic.gov.in/content/pdf/CONTENTREPO/CAAR/caar-del-apple-12-28012025.pdf</t>
        </is>
      </c>
      <c r="M102" s="13" t="inlineStr">
        <is>
          <t>YES</t>
        </is>
      </c>
    </row>
    <row r="103">
      <c r="A103" s="13" t="inlineStr">
        <is>
          <t>Delhi Rulings</t>
        </is>
      </c>
      <c r="B103" s="13" t="inlineStr">
        <is>
          <t>10</t>
        </is>
      </c>
      <c r="C103" s="13" t="inlineStr">
        <is>
          <t>99</t>
        </is>
      </c>
      <c r="D103" s="13" t="inlineStr">
        <is>
          <t>M/s Apple Operations International (Ltd.)</t>
        </is>
      </c>
      <c r="E103" s="13" t="inlineStr">
        <is>
          <t>09-10-2024</t>
        </is>
      </c>
      <c r="F103" s="13" t="inlineStr">
        <is>
          <t>23.01.2025</t>
        </is>
      </c>
      <c r="G103" s="13" t="inlineStr">
        <is>
          <t>2025</t>
        </is>
      </c>
      <c r="H103" s="13" t="inlineStr">
        <is>
          <t>Export of “Cover Glass Module" (product)</t>
        </is>
      </c>
      <c r="I103" s="13" t="inlineStr">
        <is>
          <t>Classification</t>
        </is>
      </c>
      <c r="J103" s="13" t="inlineStr">
        <is>
          <t>inferred</t>
        </is>
      </c>
      <c r="K103" s="13" t="inlineStr">
        <is>
          <t>CAAR/Del/Apple/11/2025</t>
        </is>
      </c>
      <c r="L103" s="14" t="inlineStr">
        <is>
          <t>https://www.cbic.gov.in/content/pdf/CONTENTREPO/CAAR/caar-del-apple-11-28012025.pdf</t>
        </is>
      </c>
      <c r="M103" s="13" t="inlineStr">
        <is>
          <t>YES</t>
        </is>
      </c>
    </row>
    <row r="104">
      <c r="A104" s="13" t="inlineStr">
        <is>
          <t>Delhi Rulings</t>
        </is>
      </c>
      <c r="B104" s="13" t="inlineStr">
        <is>
          <t>10</t>
        </is>
      </c>
      <c r="C104" s="13" t="inlineStr">
        <is>
          <t>100</t>
        </is>
      </c>
      <c r="D104" s="13" t="inlineStr">
        <is>
          <t>M/s Apple Operations International (Ltd.)</t>
        </is>
      </c>
      <c r="E104" s="13" t="inlineStr">
        <is>
          <t>09-10-2024</t>
        </is>
      </c>
      <c r="F104" s="13" t="inlineStr">
        <is>
          <t>23.01.2025</t>
        </is>
      </c>
      <c r="G104" s="13" t="inlineStr">
        <is>
          <t>2025</t>
        </is>
      </c>
      <c r="H104" s="13" t="inlineStr">
        <is>
          <t>Export of "Receiver Upper Antenna" Subassembly (Product)</t>
        </is>
      </c>
      <c r="I104" s="13" t="inlineStr">
        <is>
          <t>Classification</t>
        </is>
      </c>
      <c r="J104" s="13" t="inlineStr">
        <is>
          <t>inferred</t>
        </is>
      </c>
      <c r="K104" s="13" t="inlineStr">
        <is>
          <t>CAAR/Del/Apple/10/2025</t>
        </is>
      </c>
      <c r="L104" s="14" t="inlineStr">
        <is>
          <t>https://www.cbic.gov.in/content/pdf/CONTENTREPO/CAAR/caar-del-apple-10-28012025.pdf</t>
        </is>
      </c>
      <c r="M104" s="13" t="inlineStr">
        <is>
          <t>YES</t>
        </is>
      </c>
    </row>
    <row r="105">
      <c r="A105" s="13" t="inlineStr">
        <is>
          <t>Delhi Rulings</t>
        </is>
      </c>
      <c r="B105" s="13" t="inlineStr">
        <is>
          <t>11</t>
        </is>
      </c>
      <c r="C105" s="13" t="inlineStr">
        <is>
          <t>101</t>
        </is>
      </c>
      <c r="D105" s="13" t="inlineStr">
        <is>
          <t>M/s Apple Operations International (Ltd.)</t>
        </is>
      </c>
      <c r="E105" s="13" t="inlineStr">
        <is>
          <t>09-10-2024</t>
        </is>
      </c>
      <c r="F105" s="13" t="inlineStr">
        <is>
          <t>22.01.2025</t>
        </is>
      </c>
      <c r="G105" s="13" t="inlineStr">
        <is>
          <t>2025</t>
        </is>
      </c>
      <c r="H105" s="13" t="inlineStr">
        <is>
          <t>Export of “Back Glass Subassembly"(product)</t>
        </is>
      </c>
      <c r="I105" s="13" t="inlineStr">
        <is>
          <t>Classification</t>
        </is>
      </c>
      <c r="J105" s="13" t="inlineStr">
        <is>
          <t>inferred</t>
        </is>
      </c>
      <c r="K105" s="13" t="inlineStr">
        <is>
          <t>CAAR/Del/Apple/09/2025</t>
        </is>
      </c>
      <c r="L105" s="14" t="inlineStr">
        <is>
          <t>https://www.cbic.gov.in/content/pdf/CONTENTREPO/CAAR/caar-del-apple-09-28012025.pdf</t>
        </is>
      </c>
      <c r="M105" s="13" t="inlineStr">
        <is>
          <t>YES</t>
        </is>
      </c>
    </row>
    <row r="106">
      <c r="A106" s="13" t="inlineStr">
        <is>
          <t>Delhi Rulings</t>
        </is>
      </c>
      <c r="B106" s="13" t="inlineStr">
        <is>
          <t>11</t>
        </is>
      </c>
      <c r="C106" s="13" t="inlineStr">
        <is>
          <t>102</t>
        </is>
      </c>
      <c r="D106" s="13" t="inlineStr">
        <is>
          <t>M/s Apple Operations International (Ltd.)</t>
        </is>
      </c>
      <c r="E106" s="13" t="inlineStr">
        <is>
          <t>09-10-2024</t>
        </is>
      </c>
      <c r="F106" s="13" t="inlineStr">
        <is>
          <t>22.01.2025</t>
        </is>
      </c>
      <c r="G106" s="13" t="inlineStr">
        <is>
          <t>2025</t>
        </is>
      </c>
      <c r="H106" s="13" t="inlineStr">
        <is>
          <t>Export of “housing Module" (product)</t>
        </is>
      </c>
      <c r="I106" s="13" t="inlineStr">
        <is>
          <t>Classification</t>
        </is>
      </c>
      <c r="J106" s="13" t="inlineStr">
        <is>
          <t>inferred</t>
        </is>
      </c>
      <c r="K106" s="13" t="inlineStr">
        <is>
          <t>CAAR/Del/Apple/08/2025</t>
        </is>
      </c>
      <c r="L106" s="14" t="inlineStr">
        <is>
          <t>https://www.cbic.gov.in/content/pdf/CONTENTREPO/CAAR/caar-del-apple-08-28012025.pdf</t>
        </is>
      </c>
      <c r="M106" s="13" t="inlineStr">
        <is>
          <t>YES</t>
        </is>
      </c>
    </row>
    <row r="107">
      <c r="A107" s="13" t="inlineStr">
        <is>
          <t>Delhi Rulings</t>
        </is>
      </c>
      <c r="B107" s="13" t="inlineStr">
        <is>
          <t>11</t>
        </is>
      </c>
      <c r="C107" s="13" t="inlineStr">
        <is>
          <t>103</t>
        </is>
      </c>
      <c r="D107" s="13" t="inlineStr">
        <is>
          <t>M/s Apple Operations International (Ltd.)</t>
        </is>
      </c>
      <c r="E107" s="13" t="inlineStr">
        <is>
          <t>09-10-2024</t>
        </is>
      </c>
      <c r="F107" s="13" t="inlineStr">
        <is>
          <t>22.01.2025</t>
        </is>
      </c>
      <c r="G107" s="13" t="inlineStr">
        <is>
          <t>2025</t>
        </is>
      </c>
      <c r="H107" s="13" t="inlineStr">
        <is>
          <t>Export of “Cover Glass Module" (product)</t>
        </is>
      </c>
      <c r="I107" s="13" t="inlineStr">
        <is>
          <t>Classification</t>
        </is>
      </c>
      <c r="J107" s="13" t="inlineStr">
        <is>
          <t>inferred</t>
        </is>
      </c>
      <c r="K107" s="13" t="inlineStr">
        <is>
          <t>CAAR/Del/Apple/07/2025</t>
        </is>
      </c>
      <c r="L107" s="14" t="inlineStr">
        <is>
          <t>https://www.cbic.gov.in/content/pdf/CONTENTREPO/CAAR/caar-del-apple-07-28012025.pdf</t>
        </is>
      </c>
      <c r="M107" s="13" t="inlineStr">
        <is>
          <t>YES</t>
        </is>
      </c>
    </row>
    <row r="108">
      <c r="A108" s="13" t="inlineStr">
        <is>
          <t>Delhi Rulings</t>
        </is>
      </c>
      <c r="B108" s="13" t="inlineStr">
        <is>
          <t>11</t>
        </is>
      </c>
      <c r="C108" s="13" t="inlineStr">
        <is>
          <t>104</t>
        </is>
      </c>
      <c r="D108" s="13" t="inlineStr">
        <is>
          <t>M/s Apple Operations International (Ltd.)</t>
        </is>
      </c>
      <c r="E108" s="13" t="inlineStr">
        <is>
          <t>09-10-2024</t>
        </is>
      </c>
      <c r="F108" s="13" t="inlineStr">
        <is>
          <t>21.01.2025</t>
        </is>
      </c>
      <c r="G108" s="13" t="inlineStr">
        <is>
          <t>2025</t>
        </is>
      </c>
      <c r="H108" s="13" t="inlineStr">
        <is>
          <t>Export of "Receiver Upper Antenna Subassembly" (Product)</t>
        </is>
      </c>
      <c r="I108" s="13" t="inlineStr">
        <is>
          <t>Classification</t>
        </is>
      </c>
      <c r="J108" s="13" t="inlineStr">
        <is>
          <t>inferred</t>
        </is>
      </c>
      <c r="K108" s="13" t="inlineStr">
        <is>
          <t>CAAR/Del/Apple/06/2025</t>
        </is>
      </c>
      <c r="L108" s="14" t="inlineStr">
        <is>
          <t>https://www.cbic.gov.in/content/pdf/CONTENTREPO/CAAR/caar-del-apple-06-28012025.pdf</t>
        </is>
      </c>
      <c r="M108" s="13" t="inlineStr">
        <is>
          <t>YES</t>
        </is>
      </c>
    </row>
    <row r="109">
      <c r="A109" s="13" t="inlineStr">
        <is>
          <t>Delhi Rulings</t>
        </is>
      </c>
      <c r="B109" s="13" t="inlineStr">
        <is>
          <t>11</t>
        </is>
      </c>
      <c r="C109" s="13" t="inlineStr">
        <is>
          <t>105</t>
        </is>
      </c>
      <c r="D109" s="13" t="inlineStr">
        <is>
          <t>M/s Akam Impex</t>
        </is>
      </c>
      <c r="E109" s="13" t="inlineStr">
        <is>
          <t>13.12.2024</t>
        </is>
      </c>
      <c r="F109" s="13" t="inlineStr">
        <is>
          <t>14.01.2025</t>
        </is>
      </c>
      <c r="G109" s="13" t="inlineStr">
        <is>
          <t>2025</t>
        </is>
      </c>
      <c r="H109" s="13" t="inlineStr">
        <is>
          <t>Roasted Areca Nuts (whole), Roasted Areca Nuts (Split), Roasted Areca Nuts (cut)</t>
        </is>
      </c>
      <c r="I109" s="13" t="inlineStr">
        <is>
          <t>Classification</t>
        </is>
      </c>
      <c r="J109" s="13" t="inlineStr">
        <is>
          <t>inferred</t>
        </is>
      </c>
      <c r="K109" s="13" t="inlineStr">
        <is>
          <t>CAAR/Del/Akam/05/2025</t>
        </is>
      </c>
      <c r="L109" s="14" t="inlineStr">
        <is>
          <t>https://www.cbic.gov.in/content/pdf/CONTENTREPO/CAAR/caar-del-akam-05-20012025.pdf</t>
        </is>
      </c>
      <c r="M109" s="13" t="inlineStr">
        <is>
          <t>YES</t>
        </is>
      </c>
    </row>
    <row r="110">
      <c r="A110" s="13" t="inlineStr">
        <is>
          <t>Delhi Rulings</t>
        </is>
      </c>
      <c r="B110" s="13" t="inlineStr">
        <is>
          <t>11</t>
        </is>
      </c>
      <c r="C110" s="13" t="inlineStr">
        <is>
          <t>106</t>
        </is>
      </c>
      <c r="D110" s="13" t="inlineStr">
        <is>
          <t>M/s BYD India Private Limited</t>
        </is>
      </c>
      <c r="E110" s="13" t="inlineStr">
        <is>
          <t>28.10.2024</t>
        </is>
      </c>
      <c r="F110" s="13" t="inlineStr">
        <is>
          <t>14.01.2025</t>
        </is>
      </c>
      <c r="G110" s="13" t="inlineStr">
        <is>
          <t>2025</t>
        </is>
      </c>
      <c r="H110" s="13" t="inlineStr">
        <is>
          <t>Unassembled EV Kits</t>
        </is>
      </c>
      <c r="I110" s="13" t="inlineStr">
        <is>
          <t>Classification</t>
        </is>
      </c>
      <c r="J110" s="13" t="inlineStr">
        <is>
          <t>inferred</t>
        </is>
      </c>
      <c r="K110" s="13" t="inlineStr">
        <is>
          <t>CAAR/Del/B.Y.D. India/04/2025</t>
        </is>
      </c>
      <c r="L110" s="13" t="inlineStr"/>
      <c r="M110" s="13" t="inlineStr">
        <is>
          <t>NO</t>
        </is>
      </c>
    </row>
    <row r="111">
      <c r="A111" s="13" t="inlineStr">
        <is>
          <t>Delhi Rulings</t>
        </is>
      </c>
      <c r="B111" s="13" t="inlineStr">
        <is>
          <t>11</t>
        </is>
      </c>
      <c r="C111" s="13" t="inlineStr">
        <is>
          <t>107</t>
        </is>
      </c>
      <c r="D111" s="13" t="inlineStr">
        <is>
          <t>M/s Kodarma Chemi (p) ltds</t>
        </is>
      </c>
      <c r="E111" s="13" t="inlineStr">
        <is>
          <t>09.10.2024</t>
        </is>
      </c>
      <c r="F111" s="13" t="inlineStr">
        <is>
          <t>08.01.2025</t>
        </is>
      </c>
      <c r="G111" s="13" t="inlineStr">
        <is>
          <t>2025</t>
        </is>
      </c>
      <c r="H111" s="13" t="inlineStr">
        <is>
          <t>Pyrolysis Gasoline</t>
        </is>
      </c>
      <c r="I111" s="13" t="inlineStr">
        <is>
          <t>Classification</t>
        </is>
      </c>
      <c r="J111" s="13" t="inlineStr">
        <is>
          <t>inferred</t>
        </is>
      </c>
      <c r="K111" s="13" t="inlineStr">
        <is>
          <t>CAAR/Delhi/Kodarma/03/2025</t>
        </is>
      </c>
      <c r="L111" s="14" t="inlineStr">
        <is>
          <t>https://www.cbic.gov.in/content/pdf/CONTENTREPO/CAAR/caar-delhi-kodarama-13012025.pdf</t>
        </is>
      </c>
      <c r="M111" s="13" t="inlineStr">
        <is>
          <t>YES</t>
        </is>
      </c>
    </row>
    <row r="112">
      <c r="A112" s="13" t="inlineStr">
        <is>
          <t>Delhi Rulings</t>
        </is>
      </c>
      <c r="B112" s="13" t="inlineStr">
        <is>
          <t>11</t>
        </is>
      </c>
      <c r="C112" s="13" t="inlineStr">
        <is>
          <t>108</t>
        </is>
      </c>
      <c r="D112" s="13" t="inlineStr">
        <is>
          <t>M/s shri ram overseas</t>
        </is>
      </c>
      <c r="E112" s="13" t="inlineStr">
        <is>
          <t>16.10.2024</t>
        </is>
      </c>
      <c r="F112" s="13" t="inlineStr">
        <is>
          <t>08.01.2025</t>
        </is>
      </c>
      <c r="G112" s="13" t="inlineStr">
        <is>
          <t>2025</t>
        </is>
      </c>
      <c r="H112" s="13" t="inlineStr">
        <is>
          <t>Roasted Areca Nuts (whole), Roasted Areca Nuts (Split), Roasted Areca Nuts (cut)</t>
        </is>
      </c>
      <c r="I112" s="13" t="inlineStr">
        <is>
          <t>Classification</t>
        </is>
      </c>
      <c r="J112" s="13" t="inlineStr">
        <is>
          <t>inferred</t>
        </is>
      </c>
      <c r="K112" s="13" t="inlineStr">
        <is>
          <t>CAAR/Delhi/Shri Ram/02/2025</t>
        </is>
      </c>
      <c r="L112" s="14" t="inlineStr">
        <is>
          <t>https://www.cbic.gov.in/content/pdf/CONTENTREPO/CAAR/caar-delhi-13jan2025.pdf</t>
        </is>
      </c>
      <c r="M112" s="13" t="inlineStr">
        <is>
          <t>YES</t>
        </is>
      </c>
    </row>
    <row r="113">
      <c r="A113" s="13" t="inlineStr">
        <is>
          <t>Delhi Rulings</t>
        </is>
      </c>
      <c r="B113" s="13" t="inlineStr">
        <is>
          <t>11</t>
        </is>
      </c>
      <c r="C113" s="13" t="inlineStr">
        <is>
          <t>109</t>
        </is>
      </c>
      <c r="D113" s="13" t="inlineStr">
        <is>
          <t>M/s shri ram overseas</t>
        </is>
      </c>
      <c r="E113" s="13" t="inlineStr">
        <is>
          <t>16.10.2024</t>
        </is>
      </c>
      <c r="F113" s="13" t="inlineStr">
        <is>
          <t>08.01.2025</t>
        </is>
      </c>
      <c r="G113" s="13" t="inlineStr">
        <is>
          <t>2025</t>
        </is>
      </c>
      <c r="H113" s="13" t="inlineStr">
        <is>
          <t>Roasted Areca Nuts (whole), Roasted Areca Nuts (Split), Roasted Areca Nuts (cut)</t>
        </is>
      </c>
      <c r="I113" s="13" t="inlineStr">
        <is>
          <t>Classification</t>
        </is>
      </c>
      <c r="J113" s="13" t="inlineStr">
        <is>
          <t>inferred</t>
        </is>
      </c>
      <c r="K113" s="13" t="inlineStr">
        <is>
          <t>CAAR/Delhi/Shri Ram/01/2025</t>
        </is>
      </c>
      <c r="L113" s="14" t="inlineStr">
        <is>
          <t>https://www.cbic.gov.in/content/pdf/CONTENTREPO/CAAR/caar-delhi-13012025.pdf</t>
        </is>
      </c>
      <c r="M113" s="13" t="inlineStr">
        <is>
          <t>YES</t>
        </is>
      </c>
    </row>
    <row r="114">
      <c r="A114" s="13" t="inlineStr">
        <is>
          <t>Delhi Rulings</t>
        </is>
      </c>
      <c r="B114" s="13" t="inlineStr">
        <is>
          <t>11</t>
        </is>
      </c>
      <c r="C114" s="13" t="inlineStr">
        <is>
          <t>110</t>
        </is>
      </c>
      <c r="D114" s="13" t="inlineStr">
        <is>
          <t>M/s Star Enterprise</t>
        </is>
      </c>
      <c r="E114" s="13" t="inlineStr">
        <is>
          <t>03.10.2024</t>
        </is>
      </c>
      <c r="F114" s="13" t="inlineStr">
        <is>
          <t>31.12.2024</t>
        </is>
      </c>
      <c r="G114" s="13" t="inlineStr">
        <is>
          <t>2024</t>
        </is>
      </c>
      <c r="H114" s="13" t="inlineStr">
        <is>
          <t>Roasted Areca Nuts (whole), Roasted Areca Nuts (Split), Roasted Areca Nuts (cut)</t>
        </is>
      </c>
      <c r="I114" s="13" t="inlineStr">
        <is>
          <t>Classification</t>
        </is>
      </c>
      <c r="J114" s="13" t="inlineStr">
        <is>
          <t>inferred</t>
        </is>
      </c>
      <c r="K114" s="13" t="inlineStr">
        <is>
          <t>CAAR/Delhi/Star/122/2024</t>
        </is>
      </c>
      <c r="L114" s="14" t="inlineStr">
        <is>
          <t>https://www.cbic.gov.in/content/pdf/CONTENTREPO/CAAR/caar-del-star-122-03012025.pdf</t>
        </is>
      </c>
      <c r="M114" s="13" t="inlineStr">
        <is>
          <t>YES</t>
        </is>
      </c>
    </row>
    <row r="115">
      <c r="A115" s="13" t="inlineStr">
        <is>
          <t>Delhi Rulings</t>
        </is>
      </c>
      <c r="B115" s="13" t="inlineStr">
        <is>
          <t>12</t>
        </is>
      </c>
      <c r="C115" s="13" t="inlineStr">
        <is>
          <t>111</t>
        </is>
      </c>
      <c r="D115" s="13" t="inlineStr">
        <is>
          <t>Danisco India Pvt. Ltd.</t>
        </is>
      </c>
      <c r="E115" s="13" t="inlineStr">
        <is>
          <t>24.09.2024</t>
        </is>
      </c>
      <c r="F115" s="13" t="inlineStr">
        <is>
          <t>30.12.2024</t>
        </is>
      </c>
      <c r="G115" s="13" t="inlineStr">
        <is>
          <t>2024</t>
        </is>
      </c>
      <c r="H115" s="13" t="inlineStr">
        <is>
          <t>Grindsted PGE 55-M</t>
        </is>
      </c>
      <c r="I115" s="13" t="inlineStr">
        <is>
          <t>Classification</t>
        </is>
      </c>
      <c r="J115" s="13" t="inlineStr">
        <is>
          <t>inferred</t>
        </is>
      </c>
      <c r="K115" s="13" t="inlineStr">
        <is>
          <t>CAAR/Delhi/Danisco/121/2024</t>
        </is>
      </c>
      <c r="L115" s="14" t="inlineStr">
        <is>
          <t>https://www.cbic.gov.in/content/pdf/CONTENTREPO/CAAR/CAAR-Danisco-121-2024.pdf</t>
        </is>
      </c>
      <c r="M115" s="13" t="inlineStr">
        <is>
          <t>YES</t>
        </is>
      </c>
    </row>
    <row r="116">
      <c r="A116" s="13" t="inlineStr">
        <is>
          <t>Delhi Rulings</t>
        </is>
      </c>
      <c r="B116" s="13" t="inlineStr">
        <is>
          <t>12</t>
        </is>
      </c>
      <c r="C116" s="13" t="inlineStr">
        <is>
          <t>112</t>
        </is>
      </c>
      <c r="D116" s="13" t="inlineStr">
        <is>
          <t>Danisco India Pvt. Ltd.</t>
        </is>
      </c>
      <c r="E116" s="13" t="inlineStr">
        <is>
          <t>24.09.2024</t>
        </is>
      </c>
      <c r="F116" s="13" t="inlineStr">
        <is>
          <t>30.12.2024</t>
        </is>
      </c>
      <c r="G116" s="13" t="inlineStr">
        <is>
          <t>2024</t>
        </is>
      </c>
      <c r="H116" s="13" t="inlineStr">
        <is>
          <t>Grindsted SSL P 70 Veg</t>
        </is>
      </c>
      <c r="I116" s="13" t="inlineStr">
        <is>
          <t>Classification</t>
        </is>
      </c>
      <c r="J116" s="13" t="inlineStr">
        <is>
          <t>inferred</t>
        </is>
      </c>
      <c r="K116" s="13" t="inlineStr">
        <is>
          <t>CAAR/Delhi/Danisco/120/2024</t>
        </is>
      </c>
      <c r="L116" s="14" t="inlineStr">
        <is>
          <t>https://www.cbic.gov.in/content/pdf/CONTENTREPO/CAAR/CAAR-Danisco-120-2024.pdf</t>
        </is>
      </c>
      <c r="M116" s="13" t="inlineStr">
        <is>
          <t>YES</t>
        </is>
      </c>
    </row>
    <row r="117">
      <c r="A117" s="13" t="inlineStr">
        <is>
          <t>Delhi Rulings</t>
        </is>
      </c>
      <c r="B117" s="13" t="inlineStr">
        <is>
          <t>12</t>
        </is>
      </c>
      <c r="C117" s="13" t="inlineStr">
        <is>
          <t>113</t>
        </is>
      </c>
      <c r="D117" s="13" t="inlineStr">
        <is>
          <t>Danisco India Pvt. Ltd.</t>
        </is>
      </c>
      <c r="E117" s="13" t="inlineStr">
        <is>
          <t>24.09.2024</t>
        </is>
      </c>
      <c r="F117" s="13" t="inlineStr">
        <is>
          <t>30.12.2024</t>
        </is>
      </c>
      <c r="G117" s="13" t="inlineStr">
        <is>
          <t>2024</t>
        </is>
      </c>
      <c r="H117" s="13" t="inlineStr">
        <is>
          <t>Grindsted PGMS 86</t>
        </is>
      </c>
      <c r="I117" s="13" t="inlineStr">
        <is>
          <t>Classification</t>
        </is>
      </c>
      <c r="J117" s="13" t="inlineStr">
        <is>
          <t>inferred</t>
        </is>
      </c>
      <c r="K117" s="13" t="inlineStr">
        <is>
          <t>CAAR/Delhi/Danisco/119/2024</t>
        </is>
      </c>
      <c r="L117" s="14" t="inlineStr">
        <is>
          <t>https://www.cbic.gov.in/content/pdf/CONTENTREPO/CAAR/CAAR-Danisco-119-2024.pdf</t>
        </is>
      </c>
      <c r="M117" s="13" t="inlineStr">
        <is>
          <t>YES</t>
        </is>
      </c>
    </row>
    <row r="118">
      <c r="A118" s="13" t="inlineStr">
        <is>
          <t>Delhi Rulings</t>
        </is>
      </c>
      <c r="B118" s="13" t="inlineStr">
        <is>
          <t>12</t>
        </is>
      </c>
      <c r="C118" s="13" t="inlineStr">
        <is>
          <t>114</t>
        </is>
      </c>
      <c r="D118" s="13" t="inlineStr">
        <is>
          <t>Star Enterprise</t>
        </is>
      </c>
      <c r="E118" s="13" t="inlineStr">
        <is>
          <t>24.09.2024</t>
        </is>
      </c>
      <c r="F118" s="13" t="inlineStr">
        <is>
          <t>27.12.2024</t>
        </is>
      </c>
      <c r="G118" s="13" t="inlineStr">
        <is>
          <t>2024</t>
        </is>
      </c>
      <c r="H118" s="13" t="inlineStr">
        <is>
          <t>Roasted Areca Nuts (whole), Roasted Areca Nuts (Split), Roasted Areca Nuts (cut)</t>
        </is>
      </c>
      <c r="I118" s="13" t="inlineStr">
        <is>
          <t>Classification</t>
        </is>
      </c>
      <c r="J118" s="13" t="inlineStr">
        <is>
          <t>inferred</t>
        </is>
      </c>
      <c r="K118" s="13" t="inlineStr">
        <is>
          <t>CAAR/Delhi/Star/118/2024</t>
        </is>
      </c>
      <c r="L118" s="14" t="inlineStr">
        <is>
          <t>https://www.cbic.gov.in/content/pdf/CONTENTREPO/CAAR/caar-delhi-rul-118-31122024.pdf</t>
        </is>
      </c>
      <c r="M118" s="13" t="inlineStr">
        <is>
          <t>YES</t>
        </is>
      </c>
    </row>
    <row r="119">
      <c r="A119" s="13" t="inlineStr">
        <is>
          <t>Delhi Rulings</t>
        </is>
      </c>
      <c r="B119" s="13" t="inlineStr">
        <is>
          <t>12</t>
        </is>
      </c>
      <c r="C119" s="13" t="inlineStr">
        <is>
          <t>115</t>
        </is>
      </c>
      <c r="D119" s="13" t="inlineStr">
        <is>
          <t>Danisco India Pvt. Ltd.</t>
        </is>
      </c>
      <c r="E119" s="13" t="inlineStr">
        <is>
          <t>23.09.2024</t>
        </is>
      </c>
      <c r="F119" s="13" t="inlineStr">
        <is>
          <t>27.12.2024</t>
        </is>
      </c>
      <c r="G119" s="13" t="inlineStr">
        <is>
          <t>2024</t>
        </is>
      </c>
      <c r="H119" s="13" t="inlineStr">
        <is>
          <t>Grindsted PS 101 M</t>
        </is>
      </c>
      <c r="I119" s="13" t="inlineStr">
        <is>
          <t>Classification</t>
        </is>
      </c>
      <c r="J119" s="13" t="inlineStr">
        <is>
          <t>inferred</t>
        </is>
      </c>
      <c r="K119" s="13" t="inlineStr">
        <is>
          <t>CAAR/Delhi/Danisco/117/2024</t>
        </is>
      </c>
      <c r="L119" s="14" t="inlineStr">
        <is>
          <t>https://www.cbic.gov.in/content/pdf/CONTENTREPO/CAAR/caar-delhi-rul-117-31122024.pdf</t>
        </is>
      </c>
      <c r="M119" s="13" t="inlineStr">
        <is>
          <t>YES</t>
        </is>
      </c>
    </row>
    <row r="120">
      <c r="A120" s="13" t="inlineStr">
        <is>
          <t>Delhi Rulings</t>
        </is>
      </c>
      <c r="B120" s="13" t="inlineStr">
        <is>
          <t>12</t>
        </is>
      </c>
      <c r="C120" s="13" t="inlineStr">
        <is>
          <t>116</t>
        </is>
      </c>
      <c r="D120" s="13" t="inlineStr">
        <is>
          <t>Danisco India Pvt. Ltd</t>
        </is>
      </c>
      <c r="E120" s="13" t="inlineStr">
        <is>
          <t>24.09.2024</t>
        </is>
      </c>
      <c r="F120" s="13" t="inlineStr">
        <is>
          <t>26.12.2024</t>
        </is>
      </c>
      <c r="G120" s="13" t="inlineStr">
        <is>
          <t>2024</t>
        </is>
      </c>
      <c r="H120" s="13" t="inlineStr">
        <is>
          <t>Dimodan HP-M and Dimodan HP</t>
        </is>
      </c>
      <c r="I120" s="13" t="inlineStr">
        <is>
          <t>Classification</t>
        </is>
      </c>
      <c r="J120" s="13" t="inlineStr">
        <is>
          <t>inferred</t>
        </is>
      </c>
      <c r="K120" s="13" t="inlineStr">
        <is>
          <t>CAAR/Delhi/Dansico/116/2024</t>
        </is>
      </c>
      <c r="L120" s="14" t="inlineStr">
        <is>
          <t>https://www.cbic.gov.in/content/pdf/CONTENTREPO/CAAR/caar-delhi-116-2024.pdf</t>
        </is>
      </c>
      <c r="M120" s="13" t="inlineStr">
        <is>
          <t>YES</t>
        </is>
      </c>
    </row>
    <row r="121">
      <c r="A121" s="13" t="inlineStr">
        <is>
          <t>Delhi Rulings</t>
        </is>
      </c>
      <c r="B121" s="13" t="inlineStr">
        <is>
          <t>12</t>
        </is>
      </c>
      <c r="C121" s="13" t="inlineStr">
        <is>
          <t>117</t>
        </is>
      </c>
      <c r="D121" s="13" t="inlineStr">
        <is>
          <t>R V International</t>
        </is>
      </c>
      <c r="E121" s="13" t="inlineStr">
        <is>
          <t>23.09.2024</t>
        </is>
      </c>
      <c r="F121" s="13" t="inlineStr">
        <is>
          <t>24.12.2024</t>
        </is>
      </c>
      <c r="G121" s="13" t="inlineStr">
        <is>
          <t>2024</t>
        </is>
      </c>
      <c r="H121" s="13" t="inlineStr">
        <is>
          <t>Prov. Pres. Areca Nuts (whole/split)</t>
        </is>
      </c>
      <c r="I121" s="13" t="inlineStr">
        <is>
          <t>Classification</t>
        </is>
      </c>
      <c r="J121" s="13" t="inlineStr">
        <is>
          <t>inferred</t>
        </is>
      </c>
      <c r="K121" s="13" t="inlineStr">
        <is>
          <t>CAAR/Delhi/R V Intl./115/2024</t>
        </is>
      </c>
      <c r="L121" s="14" t="inlineStr">
        <is>
          <t>https://www.cbic.gov.in/content/pdf/CONTENTREPO/CAAR/caar-del-115-2024.pdf</t>
        </is>
      </c>
      <c r="M121" s="13" t="inlineStr">
        <is>
          <t>YES</t>
        </is>
      </c>
    </row>
    <row r="122">
      <c r="A122" s="13" t="inlineStr">
        <is>
          <t>Delhi Rulings</t>
        </is>
      </c>
      <c r="B122" s="13" t="inlineStr">
        <is>
          <t>12</t>
        </is>
      </c>
      <c r="C122" s="13" t="inlineStr">
        <is>
          <t>118</t>
        </is>
      </c>
      <c r="D122" s="13" t="inlineStr">
        <is>
          <t>R V International</t>
        </is>
      </c>
      <c r="E122" s="13" t="inlineStr">
        <is>
          <t>23.09.2024</t>
        </is>
      </c>
      <c r="F122" s="13" t="inlineStr">
        <is>
          <t>24.12.2024</t>
        </is>
      </c>
      <c r="G122" s="13" t="inlineStr">
        <is>
          <t>2024</t>
        </is>
      </c>
      <c r="H122" s="13" t="inlineStr">
        <is>
          <t>Prov. Pres. Areca Nuts (whole/split)</t>
        </is>
      </c>
      <c r="I122" s="13" t="inlineStr">
        <is>
          <t>Classification</t>
        </is>
      </c>
      <c r="J122" s="13" t="inlineStr">
        <is>
          <t>inferred</t>
        </is>
      </c>
      <c r="K122" s="13" t="inlineStr">
        <is>
          <t>CAAR/Delhi/R V Intl./114/2024</t>
        </is>
      </c>
      <c r="L122" s="14" t="inlineStr">
        <is>
          <t>https://www.cbic.gov.in/content/pdf/CONTENTREPO/CAAR/caar-del-114-2024.pdf</t>
        </is>
      </c>
      <c r="M122" s="13" t="inlineStr">
        <is>
          <t>YES</t>
        </is>
      </c>
    </row>
    <row r="123">
      <c r="A123" s="13" t="inlineStr">
        <is>
          <t>Delhi Rulings</t>
        </is>
      </c>
      <c r="B123" s="13" t="inlineStr">
        <is>
          <t>12</t>
        </is>
      </c>
      <c r="C123" s="13" t="inlineStr">
        <is>
          <t>119</t>
        </is>
      </c>
      <c r="D123" s="13" t="inlineStr">
        <is>
          <t>Samsung India Electronics Private Limited</t>
        </is>
      </c>
      <c r="E123" s="13" t="inlineStr">
        <is>
          <t>12.09.2024</t>
        </is>
      </c>
      <c r="F123" s="13" t="inlineStr">
        <is>
          <t>24.12.2024</t>
        </is>
      </c>
      <c r="G123" s="13" t="inlineStr">
        <is>
          <t>2024</t>
        </is>
      </c>
      <c r="H123" s="13" t="inlineStr">
        <is>
          <t>Samsung Galaxy Ring, Sizing Kit</t>
        </is>
      </c>
      <c r="I123" s="13" t="inlineStr">
        <is>
          <t>Classification</t>
        </is>
      </c>
      <c r="J123" s="13" t="inlineStr">
        <is>
          <t>inferred</t>
        </is>
      </c>
      <c r="K123" s="13" t="inlineStr">
        <is>
          <t>CAAR/Delhi/Samsung/113/2024</t>
        </is>
      </c>
      <c r="L123" s="14" t="inlineStr">
        <is>
          <t>https://www.cbic.gov.in/content/pdf/CONTENTREPO/CAAR/caar-samsung-113-2024.pdf</t>
        </is>
      </c>
      <c r="M123" s="13" t="inlineStr">
        <is>
          <t>YES</t>
        </is>
      </c>
    </row>
    <row r="124">
      <c r="A124" s="13" t="inlineStr">
        <is>
          <t>Delhi Rulings</t>
        </is>
      </c>
      <c r="B124" s="13" t="inlineStr">
        <is>
          <t>12</t>
        </is>
      </c>
      <c r="C124" s="13" t="inlineStr">
        <is>
          <t>120</t>
        </is>
      </c>
      <c r="D124" s="13" t="inlineStr">
        <is>
          <t>Lujee International Company Ltd</t>
        </is>
      </c>
      <c r="E124" s="13" t="inlineStr">
        <is>
          <t>24.09.2024</t>
        </is>
      </c>
      <c r="F124" s="13" t="inlineStr">
        <is>
          <t>24.12.2024</t>
        </is>
      </c>
      <c r="G124" s="13" t="inlineStr">
        <is>
          <t>2024</t>
        </is>
      </c>
      <c r="H124" s="13" t="inlineStr">
        <is>
          <t>provisionally Areca nuts (whole) and provisionally preserved Areca Nut( split)</t>
        </is>
      </c>
      <c r="I124" s="13" t="inlineStr">
        <is>
          <t>Classification</t>
        </is>
      </c>
      <c r="J124" s="13" t="inlineStr">
        <is>
          <t>inferred</t>
        </is>
      </c>
      <c r="K124" s="13" t="inlineStr">
        <is>
          <t>CAAR/Delhi/Lujje/112/2024</t>
        </is>
      </c>
      <c r="L124" s="14" t="inlineStr">
        <is>
          <t>https://www.cbic.gov.in/content/pdf/CONTENTREPO/CAAR/caar-lujee-112-2024.pdf</t>
        </is>
      </c>
      <c r="M124" s="13" t="inlineStr">
        <is>
          <t>YES</t>
        </is>
      </c>
    </row>
    <row r="125">
      <c r="A125" s="13" t="inlineStr">
        <is>
          <t>Delhi Rulings</t>
        </is>
      </c>
      <c r="B125" s="13" t="inlineStr">
        <is>
          <t>13</t>
        </is>
      </c>
      <c r="C125" s="13" t="inlineStr">
        <is>
          <t>121</t>
        </is>
      </c>
      <c r="D125" s="13" t="inlineStr">
        <is>
          <t>Lujee International Company Ltd</t>
        </is>
      </c>
      <c r="E125" s="13" t="inlineStr">
        <is>
          <t>24.09.2024</t>
        </is>
      </c>
      <c r="F125" s="13" t="inlineStr">
        <is>
          <t>24.12.2024</t>
        </is>
      </c>
      <c r="G125" s="13" t="inlineStr">
        <is>
          <t>2024</t>
        </is>
      </c>
      <c r="H125" s="13" t="inlineStr">
        <is>
          <t>provisionally Areca nuts (whole) and provisionally preserved Areca Nut( split)</t>
        </is>
      </c>
      <c r="I125" s="13" t="inlineStr">
        <is>
          <t>Classification</t>
        </is>
      </c>
      <c r="J125" s="13" t="inlineStr">
        <is>
          <t>inferred</t>
        </is>
      </c>
      <c r="K125" s="13" t="inlineStr">
        <is>
          <t>CAAR/Delhi/Lujje/111/2024</t>
        </is>
      </c>
      <c r="L125" s="14" t="inlineStr">
        <is>
          <t>https://www.cbic.gov.in/content/pdf/CONTENTREPO/CAAR/caar-lujee-111-2024.pdf</t>
        </is>
      </c>
      <c r="M125" s="13" t="inlineStr">
        <is>
          <t>YES</t>
        </is>
      </c>
    </row>
    <row r="126">
      <c r="A126" s="13" t="inlineStr">
        <is>
          <t>Delhi Rulings</t>
        </is>
      </c>
      <c r="B126" s="13" t="inlineStr">
        <is>
          <t>13</t>
        </is>
      </c>
      <c r="C126" s="13" t="inlineStr">
        <is>
          <t>122</t>
        </is>
      </c>
      <c r="D126" s="13" t="inlineStr">
        <is>
          <t>Lujee International Company Ltd</t>
        </is>
      </c>
      <c r="E126" s="13" t="inlineStr">
        <is>
          <t>24.09.2024</t>
        </is>
      </c>
      <c r="F126" s="13" t="inlineStr">
        <is>
          <t>24.12.2024</t>
        </is>
      </c>
      <c r="G126" s="13" t="inlineStr">
        <is>
          <t>2024</t>
        </is>
      </c>
      <c r="H126" s="13" t="inlineStr">
        <is>
          <t>provisionally Areca nuts (whole) and provisionally preserved Areca Nut( split)</t>
        </is>
      </c>
      <c r="I126" s="13" t="inlineStr">
        <is>
          <t>Classification</t>
        </is>
      </c>
      <c r="J126" s="13" t="inlineStr">
        <is>
          <t>inferred</t>
        </is>
      </c>
      <c r="K126" s="13" t="inlineStr">
        <is>
          <t>CAAR/Delhi/Lujje/110/2024</t>
        </is>
      </c>
      <c r="L126" s="14" t="inlineStr">
        <is>
          <t>https://www.cbic.gov.in/content/pdf/CONTENTREPO/CAAR/caar-lujee-110-2024.pdf</t>
        </is>
      </c>
      <c r="M126" s="13" t="inlineStr">
        <is>
          <t>YES</t>
        </is>
      </c>
    </row>
    <row r="127">
      <c r="A127" s="13" t="inlineStr">
        <is>
          <t>Delhi Rulings</t>
        </is>
      </c>
      <c r="B127" s="13" t="inlineStr">
        <is>
          <t>13</t>
        </is>
      </c>
      <c r="C127" s="13" t="inlineStr">
        <is>
          <t>123</t>
        </is>
      </c>
      <c r="D127" s="13" t="inlineStr">
        <is>
          <t>Betel Nuts Suppliers LLP</t>
        </is>
      </c>
      <c r="E127" s="13" t="inlineStr">
        <is>
          <t>23.09.2024</t>
        </is>
      </c>
      <c r="F127" s="13" t="inlineStr">
        <is>
          <t>23.12.2024</t>
        </is>
      </c>
      <c r="G127" s="13" t="inlineStr">
        <is>
          <t>2024</t>
        </is>
      </c>
      <c r="H127" s="13" t="inlineStr">
        <is>
          <t>Menthol scented supari</t>
        </is>
      </c>
      <c r="I127" s="13" t="inlineStr">
        <is>
          <t>Classification</t>
        </is>
      </c>
      <c r="J127" s="13" t="inlineStr">
        <is>
          <t>inferred</t>
        </is>
      </c>
      <c r="K127" s="13" t="inlineStr">
        <is>
          <t>CAAR/Delhi/Betelnut/109/2024</t>
        </is>
      </c>
      <c r="L127" s="14" t="inlineStr">
        <is>
          <t>https://www.cbic.gov.in/content/pdf/CONTENTREPO/CAAR/caar-delhi-rul-109-26122024.pdf</t>
        </is>
      </c>
      <c r="M127" s="13" t="inlineStr">
        <is>
          <t>YES</t>
        </is>
      </c>
    </row>
    <row r="128">
      <c r="A128" s="13" t="inlineStr">
        <is>
          <t>Delhi Rulings</t>
        </is>
      </c>
      <c r="B128" s="13" t="inlineStr">
        <is>
          <t>13</t>
        </is>
      </c>
      <c r="C128" s="13" t="inlineStr">
        <is>
          <t>124</t>
        </is>
      </c>
      <c r="D128" s="13" t="inlineStr">
        <is>
          <t>Lujee International Company Ltd</t>
        </is>
      </c>
      <c r="E128" s="13" t="inlineStr">
        <is>
          <t>24.09.2024</t>
        </is>
      </c>
      <c r="F128" s="13" t="inlineStr">
        <is>
          <t>23.12.2024</t>
        </is>
      </c>
      <c r="G128" s="13" t="inlineStr">
        <is>
          <t>2024</t>
        </is>
      </c>
      <c r="H128" s="13" t="inlineStr">
        <is>
          <t>Menthol scented supari and flavored coated illaichi</t>
        </is>
      </c>
      <c r="I128" s="13" t="inlineStr">
        <is>
          <t>Classification</t>
        </is>
      </c>
      <c r="J128" s="13" t="inlineStr">
        <is>
          <t>inferred</t>
        </is>
      </c>
      <c r="K128" s="13" t="inlineStr">
        <is>
          <t>CAAR/Delhi/Lujee/108/2024</t>
        </is>
      </c>
      <c r="L128" s="14" t="inlineStr">
        <is>
          <t>https://www.cbic.gov.in/content/pdf/CONTENTREPO/CAAR/caar-delhi-rul-108-26122024.pdf</t>
        </is>
      </c>
      <c r="M128" s="13" t="inlineStr">
        <is>
          <t>YES</t>
        </is>
      </c>
    </row>
    <row r="129">
      <c r="A129" s="13" t="inlineStr">
        <is>
          <t>Delhi Rulings</t>
        </is>
      </c>
      <c r="B129" s="13" t="inlineStr">
        <is>
          <t>13</t>
        </is>
      </c>
      <c r="C129" s="13" t="inlineStr">
        <is>
          <t>125</t>
        </is>
      </c>
      <c r="D129" s="13" t="inlineStr">
        <is>
          <t>Lujee International Company Ltd</t>
        </is>
      </c>
      <c r="E129" s="13" t="inlineStr">
        <is>
          <t>24.09.2024</t>
        </is>
      </c>
      <c r="F129" s="13" t="inlineStr">
        <is>
          <t>23.12.2024</t>
        </is>
      </c>
      <c r="G129" s="13" t="inlineStr">
        <is>
          <t>2024</t>
        </is>
      </c>
      <c r="H129" s="13" t="inlineStr">
        <is>
          <t>provisionally preserved Areca nuts (whole) and provisionally preserved Areca Nut(split)</t>
        </is>
      </c>
      <c r="I129" s="13" t="inlineStr">
        <is>
          <t>Classification</t>
        </is>
      </c>
      <c r="J129" s="13" t="inlineStr">
        <is>
          <t>inferred</t>
        </is>
      </c>
      <c r="K129" s="13" t="inlineStr">
        <is>
          <t>CAAR/Delhi/Lujee/107/2024</t>
        </is>
      </c>
      <c r="L129" s="14" t="inlineStr">
        <is>
          <t>https://www.cbic.gov.in/content/pdf/CONTENTREPO/CAAR/caar-delhi-rul-107-26122024.pdf</t>
        </is>
      </c>
      <c r="M129" s="13" t="inlineStr">
        <is>
          <t>YES</t>
        </is>
      </c>
    </row>
    <row r="130">
      <c r="A130" s="13" t="inlineStr">
        <is>
          <t>Delhi Rulings</t>
        </is>
      </c>
      <c r="B130" s="13" t="inlineStr">
        <is>
          <t>13</t>
        </is>
      </c>
      <c r="C130" s="13" t="inlineStr">
        <is>
          <t>126</t>
        </is>
      </c>
      <c r="D130" s="13" t="inlineStr">
        <is>
          <t>R V International</t>
        </is>
      </c>
      <c r="E130" s="13" t="inlineStr">
        <is>
          <t>23.09.2024</t>
        </is>
      </c>
      <c r="F130" s="13" t="inlineStr">
        <is>
          <t>23.12.2024</t>
        </is>
      </c>
      <c r="G130" s="13" t="inlineStr">
        <is>
          <t>2024</t>
        </is>
      </c>
      <c r="H130" s="13" t="inlineStr">
        <is>
          <t>Prov. Pres. Areca Nuts (whole/split)</t>
        </is>
      </c>
      <c r="I130" s="13" t="inlineStr">
        <is>
          <t>Classification</t>
        </is>
      </c>
      <c r="J130" s="13" t="inlineStr">
        <is>
          <t>inferred</t>
        </is>
      </c>
      <c r="K130" s="13" t="inlineStr">
        <is>
          <t>CAAR/Delhi/R.V. International/106/2024</t>
        </is>
      </c>
      <c r="L130" s="14" t="inlineStr">
        <is>
          <t>https://www.cbic.gov.in/content/pdf/CONTENTREPO/CAAR/caar-delhi-rul-106-26122024.pdf</t>
        </is>
      </c>
      <c r="M130" s="13" t="inlineStr">
        <is>
          <t>YES</t>
        </is>
      </c>
    </row>
    <row r="131">
      <c r="A131" s="13" t="inlineStr">
        <is>
          <t>Delhi Rulings</t>
        </is>
      </c>
      <c r="B131" s="13" t="inlineStr">
        <is>
          <t>13</t>
        </is>
      </c>
      <c r="C131" s="13" t="inlineStr">
        <is>
          <t>127</t>
        </is>
      </c>
      <c r="D131" s="13" t="inlineStr">
        <is>
          <t>R V International</t>
        </is>
      </c>
      <c r="E131" s="13" t="inlineStr">
        <is>
          <t>23.09.2024</t>
        </is>
      </c>
      <c r="F131" s="13" t="inlineStr">
        <is>
          <t>20.12.2024</t>
        </is>
      </c>
      <c r="G131" s="13" t="inlineStr">
        <is>
          <t>2024</t>
        </is>
      </c>
      <c r="H131" s="13" t="inlineStr">
        <is>
          <t>Prov. Pres. Areca Nuts (whole/split)</t>
        </is>
      </c>
      <c r="I131" s="13" t="inlineStr">
        <is>
          <t>Classification</t>
        </is>
      </c>
      <c r="J131" s="13" t="inlineStr">
        <is>
          <t>inferred</t>
        </is>
      </c>
      <c r="K131" s="13" t="inlineStr">
        <is>
          <t>CAAR/Delhi/R.V. International/105/2024</t>
        </is>
      </c>
      <c r="L131" s="14" t="inlineStr">
        <is>
          <t>https://www.cbic.gov.in/content/pdf/CONTENTREPO/CAAR/caar-delhi-rul-105-26122024.pdf</t>
        </is>
      </c>
      <c r="M131" s="13" t="inlineStr">
        <is>
          <t>YES</t>
        </is>
      </c>
    </row>
    <row r="132">
      <c r="A132" s="13" t="inlineStr">
        <is>
          <t>Delhi Rulings</t>
        </is>
      </c>
      <c r="B132" s="13" t="inlineStr">
        <is>
          <t>13</t>
        </is>
      </c>
      <c r="C132" s="13" t="inlineStr">
        <is>
          <t>128</t>
        </is>
      </c>
      <c r="D132" s="13" t="inlineStr">
        <is>
          <t>Lujee International Company Ltd</t>
        </is>
      </c>
      <c r="E132" s="13" t="inlineStr">
        <is>
          <t>24.09.2024</t>
        </is>
      </c>
      <c r="F132" s="13" t="inlineStr">
        <is>
          <t>20.12.2024</t>
        </is>
      </c>
      <c r="G132" s="13" t="inlineStr">
        <is>
          <t>2024</t>
        </is>
      </c>
      <c r="H132" s="13" t="inlineStr">
        <is>
          <t>Menthol scented supari and flavored coated illaichi</t>
        </is>
      </c>
      <c r="I132" s="13" t="inlineStr">
        <is>
          <t>Classification</t>
        </is>
      </c>
      <c r="J132" s="13" t="inlineStr">
        <is>
          <t>inferred</t>
        </is>
      </c>
      <c r="K132" s="13" t="inlineStr">
        <is>
          <t>CAAR/Delhi/Lujee/104/2024</t>
        </is>
      </c>
      <c r="L132" s="14" t="inlineStr">
        <is>
          <t>https://www.cbic.gov.in/content/pdf/CONTENTREPO/CAAR/caar-delhi-rul-104-26122024.pdf</t>
        </is>
      </c>
      <c r="M132" s="13" t="inlineStr">
        <is>
          <t>YES</t>
        </is>
      </c>
    </row>
    <row r="133">
      <c r="A133" s="13" t="inlineStr">
        <is>
          <t>Delhi Rulings</t>
        </is>
      </c>
      <c r="B133" s="13" t="inlineStr">
        <is>
          <t>13</t>
        </is>
      </c>
      <c r="C133" s="13" t="inlineStr">
        <is>
          <t>129</t>
        </is>
      </c>
      <c r="D133" s="13" t="inlineStr">
        <is>
          <t>Mystique Impex Pvt. Ltd.</t>
        </is>
      </c>
      <c r="E133" s="13" t="inlineStr">
        <is>
          <t>09.09.2024</t>
        </is>
      </c>
      <c r="F133" s="13" t="inlineStr">
        <is>
          <t>20.12.2024</t>
        </is>
      </c>
      <c r="G133" s="13" t="inlineStr">
        <is>
          <t>2024</t>
        </is>
      </c>
      <c r="H133" s="13" t="inlineStr">
        <is>
          <t>Provisionally preserved areca Nuts</t>
        </is>
      </c>
      <c r="I133" s="13" t="inlineStr">
        <is>
          <t>Classification</t>
        </is>
      </c>
      <c r="J133" s="13" t="inlineStr">
        <is>
          <t>inferred</t>
        </is>
      </c>
      <c r="K133" s="13" t="inlineStr">
        <is>
          <t>CAAR/Delhi/Mystique/103/2024</t>
        </is>
      </c>
      <c r="L133" s="14" t="inlineStr">
        <is>
          <t>https://www.cbic.gov.in/content/pdf/CONTENTREPO/CAAR/caar-delhi-rul-103-26122024.pdf</t>
        </is>
      </c>
      <c r="M133" s="13" t="inlineStr">
        <is>
          <t>YES</t>
        </is>
      </c>
    </row>
    <row r="134">
      <c r="A134" s="13" t="inlineStr">
        <is>
          <t>Delhi Rulings</t>
        </is>
      </c>
      <c r="B134" s="13" t="inlineStr">
        <is>
          <t>13</t>
        </is>
      </c>
      <c r="C134" s="13" t="inlineStr">
        <is>
          <t>130</t>
        </is>
      </c>
      <c r="D134" s="13" t="inlineStr">
        <is>
          <t>R V International</t>
        </is>
      </c>
      <c r="E134" s="13" t="inlineStr">
        <is>
          <t>24.09.2024</t>
        </is>
      </c>
      <c r="F134" s="13" t="inlineStr">
        <is>
          <t>20.12.2024</t>
        </is>
      </c>
      <c r="G134" s="13" t="inlineStr">
        <is>
          <t>2024</t>
        </is>
      </c>
      <c r="H134" s="13" t="inlineStr">
        <is>
          <t>Menthol Scented Supari and Flavored and coated Illaichi</t>
        </is>
      </c>
      <c r="I134" s="13" t="inlineStr">
        <is>
          <t>Classification</t>
        </is>
      </c>
      <c r="J134" s="13" t="inlineStr">
        <is>
          <t>inferred</t>
        </is>
      </c>
      <c r="K134" s="13" t="inlineStr">
        <is>
          <t>CAAR/Delhi/R.V. International/102/2024</t>
        </is>
      </c>
      <c r="L134" s="14" t="inlineStr">
        <is>
          <t>https://www.cbic.gov.in/content/pdf/CONTENTREPO/CAAR/caar-delhi-rul-102-26122024.pdf</t>
        </is>
      </c>
      <c r="M134" s="13" t="inlineStr">
        <is>
          <t>YES</t>
        </is>
      </c>
    </row>
    <row r="135">
      <c r="A135" s="13" t="inlineStr">
        <is>
          <t>Delhi Rulings</t>
        </is>
      </c>
      <c r="B135" s="13" t="inlineStr">
        <is>
          <t>14</t>
        </is>
      </c>
      <c r="C135" s="13" t="inlineStr">
        <is>
          <t>131</t>
        </is>
      </c>
      <c r="D135" s="13" t="inlineStr">
        <is>
          <t>Vapa Overseas Pvt Ltd</t>
        </is>
      </c>
      <c r="E135" s="13" t="inlineStr">
        <is>
          <t>24.09.2024</t>
        </is>
      </c>
      <c r="F135" s="13" t="inlineStr">
        <is>
          <t>20.12.2024</t>
        </is>
      </c>
      <c r="G135" s="13" t="inlineStr">
        <is>
          <t>2024</t>
        </is>
      </c>
      <c r="H135" s="13" t="inlineStr">
        <is>
          <t>Menthol Scented Supari and Flavored and coated Illaichi</t>
        </is>
      </c>
      <c r="I135" s="13" t="inlineStr">
        <is>
          <t>Classification</t>
        </is>
      </c>
      <c r="J135" s="13" t="inlineStr">
        <is>
          <t>inferred</t>
        </is>
      </c>
      <c r="K135" s="13" t="inlineStr">
        <is>
          <t>CAAR/Delhi/Vapa Overseas/101/2024</t>
        </is>
      </c>
      <c r="L135" s="14" t="inlineStr">
        <is>
          <t>https://www.cbic.gov.in/content/pdf/CONTENTREPO/CAAR/caar-delhi-rul-101-26122024.pdf</t>
        </is>
      </c>
      <c r="M135" s="13" t="inlineStr">
        <is>
          <t>YES</t>
        </is>
      </c>
    </row>
    <row r="136">
      <c r="A136" s="13" t="inlineStr">
        <is>
          <t>Delhi Rulings</t>
        </is>
      </c>
      <c r="B136" s="13" t="inlineStr">
        <is>
          <t>14</t>
        </is>
      </c>
      <c r="C136" s="13" t="inlineStr">
        <is>
          <t>132</t>
        </is>
      </c>
      <c r="D136" s="13" t="inlineStr">
        <is>
          <t>Plumage Solutions Private Limited</t>
        </is>
      </c>
      <c r="E136" s="13" t="inlineStr">
        <is>
          <t>17.09.2024</t>
        </is>
      </c>
      <c r="F136" s="13" t="inlineStr">
        <is>
          <t>20.12.2024</t>
        </is>
      </c>
      <c r="G136" s="13" t="inlineStr">
        <is>
          <t>2024</t>
        </is>
      </c>
      <c r="H136" s="13" t="inlineStr">
        <is>
          <t>Parts of Interactive Flat Panels</t>
        </is>
      </c>
      <c r="I136" s="13" t="inlineStr">
        <is>
          <t>Classification</t>
        </is>
      </c>
      <c r="J136" s="13" t="inlineStr">
        <is>
          <t>inferred</t>
        </is>
      </c>
      <c r="K136" s="13" t="inlineStr">
        <is>
          <t>CAAR/Delhi/Plumage/100/2024</t>
        </is>
      </c>
      <c r="L136" s="14" t="inlineStr">
        <is>
          <t>https://www.cbic.gov.in/content/pdf/CONTENTREPO/CAAR/caar-delhi-rul-100-26122024.pdf</t>
        </is>
      </c>
      <c r="M136" s="13" t="inlineStr">
        <is>
          <t>YES</t>
        </is>
      </c>
    </row>
    <row r="137">
      <c r="A137" s="13" t="inlineStr">
        <is>
          <t>Delhi Rulings</t>
        </is>
      </c>
      <c r="B137" s="13" t="inlineStr">
        <is>
          <t>14</t>
        </is>
      </c>
      <c r="C137" s="13" t="inlineStr">
        <is>
          <t>133</t>
        </is>
      </c>
      <c r="D137" s="13" t="inlineStr">
        <is>
          <t>M/s Plumage Solutions Pvt Ltd.</t>
        </is>
      </c>
      <c r="E137" s="13" t="inlineStr">
        <is>
          <t>17-09-2024</t>
        </is>
      </c>
      <c r="F137" s="13" t="inlineStr">
        <is>
          <t>18-12-2024</t>
        </is>
      </c>
      <c r="G137" s="13" t="inlineStr">
        <is>
          <t>2024</t>
        </is>
      </c>
      <c r="H137" s="13" t="inlineStr">
        <is>
          <t>Parts of Interactive Flat Panels in SKD form</t>
        </is>
      </c>
      <c r="I137" s="13" t="inlineStr">
        <is>
          <t>Classification</t>
        </is>
      </c>
      <c r="J137" s="13" t="inlineStr">
        <is>
          <t>inferred</t>
        </is>
      </c>
      <c r="K137" s="13" t="inlineStr">
        <is>
          <t>CAAR/Del/Plumage/99/2024</t>
        </is>
      </c>
      <c r="L137" s="14" t="inlineStr">
        <is>
          <t>https://www.cbic.gov.in/content/pdf/CONTENTREPO/CAAR/caar-del-99-Plumage-23122024.pdf</t>
        </is>
      </c>
      <c r="M137" s="13" t="inlineStr">
        <is>
          <t>YES</t>
        </is>
      </c>
    </row>
    <row r="138">
      <c r="A138" s="13" t="inlineStr">
        <is>
          <t>Delhi Rulings</t>
        </is>
      </c>
      <c r="B138" s="13" t="inlineStr">
        <is>
          <t>14</t>
        </is>
      </c>
      <c r="C138" s="13" t="inlineStr">
        <is>
          <t>134</t>
        </is>
      </c>
      <c r="D138" s="13" t="inlineStr">
        <is>
          <t>M/s Plumage Solutions Pvt Ltd.</t>
        </is>
      </c>
      <c r="E138" s="13" t="inlineStr">
        <is>
          <t>17-09-2024</t>
        </is>
      </c>
      <c r="F138" s="13" t="inlineStr">
        <is>
          <t>17-12-2024</t>
        </is>
      </c>
      <c r="G138" s="13" t="inlineStr">
        <is>
          <t>2024</t>
        </is>
      </c>
      <c r="H138" s="13" t="inlineStr">
        <is>
          <t>Parts of Interactive Flat Panels in SKD form</t>
        </is>
      </c>
      <c r="I138" s="13" t="inlineStr">
        <is>
          <t>Classification</t>
        </is>
      </c>
      <c r="J138" s="13" t="inlineStr">
        <is>
          <t>inferred</t>
        </is>
      </c>
      <c r="K138" s="13" t="inlineStr">
        <is>
          <t>CAAR/Del/Plumage/98/2024</t>
        </is>
      </c>
      <c r="L138" s="14" t="inlineStr">
        <is>
          <t>https://www.cbic.gov.in/content/pdf/CONTENTREPO/CAAR/caar-del-98-Plumage-23122024.pdf</t>
        </is>
      </c>
      <c r="M138" s="13" t="inlineStr">
        <is>
          <t>YES</t>
        </is>
      </c>
    </row>
    <row r="139">
      <c r="A139" s="13" t="inlineStr">
        <is>
          <t>Delhi Rulings</t>
        </is>
      </c>
      <c r="B139" s="13" t="inlineStr">
        <is>
          <t>14</t>
        </is>
      </c>
      <c r="C139" s="13" t="inlineStr">
        <is>
          <t>135</t>
        </is>
      </c>
      <c r="D139" s="13" t="inlineStr">
        <is>
          <t>M/s Danisco India Pvt. Ltd</t>
        </is>
      </c>
      <c r="E139" s="13" t="inlineStr">
        <is>
          <t>24.09.2024</t>
        </is>
      </c>
      <c r="F139" s="13" t="inlineStr">
        <is>
          <t>11.12.2024</t>
        </is>
      </c>
      <c r="G139" s="13" t="inlineStr">
        <is>
          <t>2024</t>
        </is>
      </c>
      <c r="H139" s="13" t="inlineStr">
        <is>
          <t>Dimodan OU-M and Grindsted PS 222MD, Grindsted PS 421</t>
        </is>
      </c>
      <c r="I139" s="13" t="inlineStr">
        <is>
          <t>Classification</t>
        </is>
      </c>
      <c r="J139" s="13" t="inlineStr">
        <is>
          <t>inferred</t>
        </is>
      </c>
      <c r="K139" s="13" t="inlineStr">
        <is>
          <t>Corrigendum</t>
        </is>
      </c>
      <c r="L139" s="14" t="inlineStr">
        <is>
          <t>https://www.cbic.gov.in/content/pdf/CONTENTREPO/CAAR/corr-car-del-dans-02012025.pdf</t>
        </is>
      </c>
      <c r="M139" s="13" t="inlineStr">
        <is>
          <t>YES</t>
        </is>
      </c>
    </row>
    <row r="140">
      <c r="A140" s="13" t="inlineStr">
        <is>
          <t>Delhi Rulings</t>
        </is>
      </c>
      <c r="B140" s="13" t="inlineStr">
        <is>
          <t>14</t>
        </is>
      </c>
      <c r="C140" s="13" t="inlineStr">
        <is>
          <t>136</t>
        </is>
      </c>
      <c r="D140" s="13" t="inlineStr">
        <is>
          <t>M/s Lujee International Company Ltd</t>
        </is>
      </c>
      <c r="E140" s="13" t="inlineStr">
        <is>
          <t>24.09.2024</t>
        </is>
      </c>
      <c r="F140" s="13" t="inlineStr">
        <is>
          <t>11.12.2024</t>
        </is>
      </c>
      <c r="G140" s="13" t="inlineStr">
        <is>
          <t>2024</t>
        </is>
      </c>
      <c r="H140" s="13" t="inlineStr">
        <is>
          <t>provisionally Areca nuts (whole) and provisionally preserved Areca Nut( split)</t>
        </is>
      </c>
      <c r="I140" s="13" t="inlineStr">
        <is>
          <t>Classification</t>
        </is>
      </c>
      <c r="J140" s="13" t="inlineStr">
        <is>
          <t>inferred</t>
        </is>
      </c>
      <c r="K140" s="13" t="inlineStr">
        <is>
          <t>CAAR/Del/Lujee/95/2024</t>
        </is>
      </c>
      <c r="L140" s="14" t="inlineStr">
        <is>
          <t>https://www.cbic.gov.in/content/pdf/CONTENTREPO/CAAR/Lujee95_13122024.pdf</t>
        </is>
      </c>
      <c r="M140" s="13" t="inlineStr">
        <is>
          <t>YES</t>
        </is>
      </c>
    </row>
    <row r="141">
      <c r="A141" s="13" t="inlineStr">
        <is>
          <t>Delhi Rulings</t>
        </is>
      </c>
      <c r="B141" s="13" t="inlineStr">
        <is>
          <t>14</t>
        </is>
      </c>
      <c r="C141" s="13" t="inlineStr">
        <is>
          <t>137</t>
        </is>
      </c>
      <c r="D141" s="13" t="inlineStr">
        <is>
          <t>M/s Amazon Wholesale India Pvt Ltd</t>
        </is>
      </c>
      <c r="E141" s="13" t="inlineStr">
        <is>
          <t>23.08.2024</t>
        </is>
      </c>
      <c r="F141" s="13" t="inlineStr">
        <is>
          <t>10.12.2024</t>
        </is>
      </c>
      <c r="G141" s="13" t="inlineStr">
        <is>
          <t>2024</t>
        </is>
      </c>
      <c r="H141" s="13" t="inlineStr">
        <is>
          <t>Echo spot model no BV84J9</t>
        </is>
      </c>
      <c r="I141" s="13" t="inlineStr">
        <is>
          <t>Classification</t>
        </is>
      </c>
      <c r="J141" s="13" t="inlineStr">
        <is>
          <t>inferred</t>
        </is>
      </c>
      <c r="K141" s="13" t="inlineStr">
        <is>
          <t>CAAR/Del/Amazon/94/2024</t>
        </is>
      </c>
      <c r="L141" s="13" t="inlineStr"/>
      <c r="M141" s="13" t="inlineStr">
        <is>
          <t>NO</t>
        </is>
      </c>
    </row>
    <row r="142">
      <c r="A142" s="13" t="inlineStr">
        <is>
          <t>Delhi Rulings</t>
        </is>
      </c>
      <c r="B142" s="13" t="inlineStr">
        <is>
          <t>14</t>
        </is>
      </c>
      <c r="C142" s="13" t="inlineStr">
        <is>
          <t>138</t>
        </is>
      </c>
      <c r="D142" s="13" t="inlineStr">
        <is>
          <t>M/s Winone Precision Technology India Pvt Ltd</t>
        </is>
      </c>
      <c r="E142" s="13" t="inlineStr">
        <is>
          <t>05.09.2024</t>
        </is>
      </c>
      <c r="F142" s="13" t="inlineStr">
        <is>
          <t>11.12.2024</t>
        </is>
      </c>
      <c r="G142" s="13" t="inlineStr">
        <is>
          <t>2024</t>
        </is>
      </c>
      <c r="H142" s="13" t="inlineStr">
        <is>
          <t>Inputs/parts of use in manufacture of mobile phone covers which get subsequently scrapped</t>
        </is>
      </c>
      <c r="I142" s="13" t="inlineStr">
        <is>
          <t>Classification</t>
        </is>
      </c>
      <c r="J142" s="13" t="inlineStr">
        <is>
          <t>inferred</t>
        </is>
      </c>
      <c r="K142" s="13" t="inlineStr">
        <is>
          <t>CAAR/Del/Winone Precision/97/2024</t>
        </is>
      </c>
      <c r="L142" s="14" t="inlineStr">
        <is>
          <t>https://www.cbic.gov.in/content/pdf/CONTENTREPO/CAAR/Winone_13122024.pdf</t>
        </is>
      </c>
      <c r="M142" s="13" t="inlineStr">
        <is>
          <t>YES</t>
        </is>
      </c>
    </row>
    <row r="143">
      <c r="A143" s="13" t="inlineStr">
        <is>
          <t>Delhi Rulings</t>
        </is>
      </c>
      <c r="B143" s="13" t="inlineStr">
        <is>
          <t>14</t>
        </is>
      </c>
      <c r="C143" s="13" t="inlineStr">
        <is>
          <t>139</t>
        </is>
      </c>
      <c r="D143" s="13" t="inlineStr">
        <is>
          <t>Oppo Mobiles India Pvt. Ltd</t>
        </is>
      </c>
      <c r="E143" s="13" t="inlineStr">
        <is>
          <t>12.08.2024</t>
        </is>
      </c>
      <c r="F143" s="13" t="inlineStr">
        <is>
          <t>06.12.2024</t>
        </is>
      </c>
      <c r="G143" s="13" t="inlineStr">
        <is>
          <t>2024</t>
        </is>
      </c>
      <c r="H143" s="13" t="inlineStr">
        <is>
          <t>Vibration Motors (ERM Motors &amp; LRA Motors) used in manufacturing of Mobile Phones</t>
        </is>
      </c>
      <c r="I143" s="13" t="inlineStr">
        <is>
          <t>Classification</t>
        </is>
      </c>
      <c r="J143" s="13" t="inlineStr">
        <is>
          <t>inferred</t>
        </is>
      </c>
      <c r="K143" s="13" t="inlineStr">
        <is>
          <t>CAAR/Del/Oppo/93/2024</t>
        </is>
      </c>
      <c r="L143" s="14" t="inlineStr">
        <is>
          <t>https://www.cbic.gov.in/content/pdf/CONTENTREPO/CAAR/caar-oppo-mobiles-india-10122024.pdf</t>
        </is>
      </c>
      <c r="M143" s="13" t="inlineStr">
        <is>
          <t>YES</t>
        </is>
      </c>
    </row>
    <row r="144">
      <c r="A144" s="13" t="inlineStr">
        <is>
          <t>Delhi Rulings</t>
        </is>
      </c>
      <c r="B144" s="13" t="inlineStr">
        <is>
          <t>14</t>
        </is>
      </c>
      <c r="C144" s="13" t="inlineStr">
        <is>
          <t>140</t>
        </is>
      </c>
      <c r="D144" s="13" t="inlineStr">
        <is>
          <t>Star Enterprises</t>
        </is>
      </c>
      <c r="E144" s="13" t="inlineStr">
        <is>
          <t>03.10.2024</t>
        </is>
      </c>
      <c r="F144" s="13" t="inlineStr">
        <is>
          <t>05.12.2024</t>
        </is>
      </c>
      <c r="G144" s="13" t="inlineStr">
        <is>
          <t>2024</t>
        </is>
      </c>
      <c r="H144" s="13" t="inlineStr">
        <is>
          <t>Roasted areca nuts (whole, cut, split)</t>
        </is>
      </c>
      <c r="I144" s="13" t="inlineStr">
        <is>
          <t>Classification</t>
        </is>
      </c>
      <c r="J144" s="13" t="inlineStr">
        <is>
          <t>inferred</t>
        </is>
      </c>
      <c r="K144" s="13" t="inlineStr">
        <is>
          <t>CAAR/Del/Star/92/2024</t>
        </is>
      </c>
      <c r="L144" s="14" t="inlineStr">
        <is>
          <t>https://www.cbic.gov.in/content/pdf/CONTENTREPO/CAAR/star92_09122024.pdf</t>
        </is>
      </c>
      <c r="M144" s="13" t="inlineStr">
        <is>
          <t>YES</t>
        </is>
      </c>
    </row>
    <row r="145">
      <c r="A145" s="13" t="inlineStr">
        <is>
          <t>Delhi Rulings</t>
        </is>
      </c>
      <c r="B145" s="13" t="inlineStr">
        <is>
          <t>15</t>
        </is>
      </c>
      <c r="C145" s="13" t="inlineStr">
        <is>
          <t>141</t>
        </is>
      </c>
      <c r="D145" s="13" t="inlineStr">
        <is>
          <t>N.K. International</t>
        </is>
      </c>
      <c r="E145" s="13" t="inlineStr">
        <is>
          <t>15.10.2024</t>
        </is>
      </c>
      <c r="F145" s="13" t="inlineStr">
        <is>
          <t>05.12.2024</t>
        </is>
      </c>
      <c r="G145" s="13" t="inlineStr">
        <is>
          <t>2024</t>
        </is>
      </c>
      <c r="H145" s="13" t="inlineStr">
        <is>
          <t>Roasted areca nuts (whole, cut, split)</t>
        </is>
      </c>
      <c r="I145" s="13" t="inlineStr">
        <is>
          <t>Classification</t>
        </is>
      </c>
      <c r="J145" s="13" t="inlineStr">
        <is>
          <t>inferred</t>
        </is>
      </c>
      <c r="K145" s="13" t="inlineStr">
        <is>
          <t>CAAR/Del/N.K./90/2024</t>
        </is>
      </c>
      <c r="L145" s="14" t="inlineStr">
        <is>
          <t>https://www.cbic.gov.in/content/pdf/CONTENTREPO/CAAR/nk90_09122024.pdf</t>
        </is>
      </c>
      <c r="M145" s="13" t="inlineStr">
        <is>
          <t>YES</t>
        </is>
      </c>
    </row>
    <row r="146">
      <c r="A146" s="13" t="inlineStr">
        <is>
          <t>Delhi Rulings</t>
        </is>
      </c>
      <c r="B146" s="13" t="inlineStr">
        <is>
          <t>15</t>
        </is>
      </c>
      <c r="C146" s="13" t="inlineStr">
        <is>
          <t>142</t>
        </is>
      </c>
      <c r="D146" s="13" t="inlineStr">
        <is>
          <t>shri ram overseas</t>
        </is>
      </c>
      <c r="E146" s="13" t="inlineStr">
        <is>
          <t>16.10.2024</t>
        </is>
      </c>
      <c r="F146" s="13" t="inlineStr">
        <is>
          <t>05.12.2024</t>
        </is>
      </c>
      <c r="G146" s="13" t="inlineStr">
        <is>
          <t>2024</t>
        </is>
      </c>
      <c r="H146" s="13" t="inlineStr">
        <is>
          <t>Roasted areca nuts (whole, cut, split)</t>
        </is>
      </c>
      <c r="I146" s="13" t="inlineStr">
        <is>
          <t>Classification</t>
        </is>
      </c>
      <c r="J146" s="13" t="inlineStr">
        <is>
          <t>inferred</t>
        </is>
      </c>
      <c r="K146" s="13" t="inlineStr">
        <is>
          <t>CAAR/Del/Shri Ram/91/2024</t>
        </is>
      </c>
      <c r="L146" s="14" t="inlineStr">
        <is>
          <t>https://www.cbic.gov.in/content/pdf/CONTENTREPO/CAAR/shri91_09122024.pdf</t>
        </is>
      </c>
      <c r="M146" s="13" t="inlineStr">
        <is>
          <t>YES</t>
        </is>
      </c>
    </row>
    <row r="147">
      <c r="A147" s="13" t="inlineStr">
        <is>
          <t>Delhi Rulings</t>
        </is>
      </c>
      <c r="B147" s="13" t="inlineStr">
        <is>
          <t>15</t>
        </is>
      </c>
      <c r="C147" s="13" t="inlineStr">
        <is>
          <t>143</t>
        </is>
      </c>
      <c r="D147" s="13" t="inlineStr">
        <is>
          <t>Canon India Pvt. Ltd.</t>
        </is>
      </c>
      <c r="E147" s="13" t="inlineStr">
        <is>
          <t>23.08.2024</t>
        </is>
      </c>
      <c r="F147" s="13" t="inlineStr">
        <is>
          <t>28.11.2024</t>
        </is>
      </c>
      <c r="G147" s="13" t="inlineStr">
        <is>
          <t>2024</t>
        </is>
      </c>
      <c r="H147" s="13" t="inlineStr">
        <is>
          <t>Cannon Camera K496(DS126922) and Camera Model No. Canon digital Camera K495(DS126928)</t>
        </is>
      </c>
      <c r="I147" s="13" t="inlineStr">
        <is>
          <t>Classification</t>
        </is>
      </c>
      <c r="J147" s="13" t="inlineStr">
        <is>
          <t>inferred</t>
        </is>
      </c>
      <c r="K147" s="13" t="inlineStr"/>
      <c r="L147" s="13" t="inlineStr"/>
      <c r="M147" s="13" t="inlineStr">
        <is>
          <t>NO</t>
        </is>
      </c>
    </row>
    <row r="148">
      <c r="A148" s="13" t="inlineStr">
        <is>
          <t>Delhi Rulings</t>
        </is>
      </c>
      <c r="B148" s="13" t="inlineStr">
        <is>
          <t>15</t>
        </is>
      </c>
      <c r="C148" s="13" t="inlineStr">
        <is>
          <t>144</t>
        </is>
      </c>
      <c r="D148" s="13" t="inlineStr">
        <is>
          <t>Winone Precision Technology India Pvt Ltd</t>
        </is>
      </c>
      <c r="E148" s="13" t="inlineStr">
        <is>
          <t>05.09.2024</t>
        </is>
      </c>
      <c r="F148" s="13" t="inlineStr">
        <is>
          <t>28.11.2024</t>
        </is>
      </c>
      <c r="G148" s="13" t="inlineStr">
        <is>
          <t>2024</t>
        </is>
      </c>
      <c r="H148" s="13" t="inlineStr">
        <is>
          <t>Inputs/parts of use in manufacture of mobile phone covers which get subsequently scrapped</t>
        </is>
      </c>
      <c r="I148" s="13" t="inlineStr">
        <is>
          <t>Classification</t>
        </is>
      </c>
      <c r="J148" s="13" t="inlineStr">
        <is>
          <t>inferred</t>
        </is>
      </c>
      <c r="K148" s="13" t="inlineStr">
        <is>
          <t>CAAR/Del/Winone Precision/89/2024</t>
        </is>
      </c>
      <c r="L148" s="14" t="inlineStr">
        <is>
          <t>https://www.cbic.gov.in/content/pdf/CONTENTREPO/CAAR/CAAR-Del-Winone-Precision-89-2024.pdf</t>
        </is>
      </c>
      <c r="M148" s="13" t="inlineStr">
        <is>
          <t>YES</t>
        </is>
      </c>
    </row>
    <row r="149">
      <c r="A149" s="13" t="inlineStr">
        <is>
          <t>Delhi Rulings</t>
        </is>
      </c>
      <c r="B149" s="13" t="inlineStr">
        <is>
          <t>15</t>
        </is>
      </c>
      <c r="C149" s="13" t="inlineStr">
        <is>
          <t>145</t>
        </is>
      </c>
      <c r="D149" s="13" t="inlineStr">
        <is>
          <t>Lujee International Company Ltd</t>
        </is>
      </c>
      <c r="E149" s="13" t="inlineStr">
        <is>
          <t>30.08.2024</t>
        </is>
      </c>
      <c r="F149" s="13" t="inlineStr">
        <is>
          <t>21.11.2024</t>
        </is>
      </c>
      <c r="G149" s="13" t="inlineStr">
        <is>
          <t>2024</t>
        </is>
      </c>
      <c r="H149" s="13" t="inlineStr">
        <is>
          <t>Roasted areca nuts (whole, cut, split)</t>
        </is>
      </c>
      <c r="I149" s="13" t="inlineStr">
        <is>
          <t>Classification</t>
        </is>
      </c>
      <c r="J149" s="13" t="inlineStr">
        <is>
          <t>inferred</t>
        </is>
      </c>
      <c r="K149" s="13" t="inlineStr">
        <is>
          <t>CAAR/Delhi/Lujee/87/2024</t>
        </is>
      </c>
      <c r="L149" s="14" t="inlineStr">
        <is>
          <t>https://www.cbic.gov.in/content/pdf/CONTENTREPO/CAAR/Lujee_87_24092024.pdf</t>
        </is>
      </c>
      <c r="M149" s="13" t="inlineStr">
        <is>
          <t>YES</t>
        </is>
      </c>
    </row>
    <row r="150">
      <c r="A150" s="13" t="inlineStr">
        <is>
          <t>Delhi Rulings</t>
        </is>
      </c>
      <c r="B150" s="13" t="inlineStr">
        <is>
          <t>15</t>
        </is>
      </c>
      <c r="C150" s="13" t="inlineStr">
        <is>
          <t>146</t>
        </is>
      </c>
      <c r="D150" s="13" t="inlineStr">
        <is>
          <t>N.K. International</t>
        </is>
      </c>
      <c r="E150" s="13" t="inlineStr">
        <is>
          <t>15.10.2024</t>
        </is>
      </c>
      <c r="F150" s="13" t="inlineStr">
        <is>
          <t>21.11.2024</t>
        </is>
      </c>
      <c r="G150" s="13" t="inlineStr">
        <is>
          <t>2024</t>
        </is>
      </c>
      <c r="H150" s="13" t="inlineStr">
        <is>
          <t>Roasted areca nuts (whole, cut, split)</t>
        </is>
      </c>
      <c r="I150" s="13" t="inlineStr">
        <is>
          <t>Classification</t>
        </is>
      </c>
      <c r="J150" s="13" t="inlineStr">
        <is>
          <t>inferred</t>
        </is>
      </c>
      <c r="K150" s="13" t="inlineStr">
        <is>
          <t>CAAR/Del/N.K./86/2024</t>
        </is>
      </c>
      <c r="L150" s="14" t="inlineStr">
        <is>
          <t>https://www.cbic.gov.in/content/pdf/CONTENTREPO/CAAR/nk_86_24092024.pdf</t>
        </is>
      </c>
      <c r="M150" s="13" t="inlineStr">
        <is>
          <t>YES</t>
        </is>
      </c>
    </row>
    <row r="151">
      <c r="A151" s="13" t="inlineStr">
        <is>
          <t>Delhi Rulings</t>
        </is>
      </c>
      <c r="B151" s="13" t="inlineStr">
        <is>
          <t>15</t>
        </is>
      </c>
      <c r="C151" s="13" t="inlineStr">
        <is>
          <t>147</t>
        </is>
      </c>
      <c r="D151" s="13" t="inlineStr">
        <is>
          <t>Lujee International Company Ltd</t>
        </is>
      </c>
      <c r="E151" s="13" t="inlineStr">
        <is>
          <t>24.09.2024</t>
        </is>
      </c>
      <c r="F151" s="13" t="inlineStr">
        <is>
          <t>21.11.2024</t>
        </is>
      </c>
      <c r="G151" s="13" t="inlineStr">
        <is>
          <t>2024</t>
        </is>
      </c>
      <c r="H151" s="13" t="inlineStr">
        <is>
          <t>provisionally Areca nuts (whole) and provisionally preserved Areca Nut( split)</t>
        </is>
      </c>
      <c r="I151" s="13" t="inlineStr">
        <is>
          <t>Classification</t>
        </is>
      </c>
      <c r="J151" s="13" t="inlineStr">
        <is>
          <t>inferred</t>
        </is>
      </c>
      <c r="K151" s="13" t="inlineStr">
        <is>
          <t>CAAR/Delhi/Lujee/85/2024</t>
        </is>
      </c>
      <c r="L151" s="14" t="inlineStr">
        <is>
          <t>https://www.cbic.gov.in/content/pdf/CONTENTREPO/CAAR/Lujee2_24092024.pdf</t>
        </is>
      </c>
      <c r="M151" s="13" t="inlineStr">
        <is>
          <t>YES</t>
        </is>
      </c>
    </row>
    <row r="152">
      <c r="A152" s="13" t="inlineStr">
        <is>
          <t>Delhi Rulings</t>
        </is>
      </c>
      <c r="B152" s="13" t="inlineStr">
        <is>
          <t>15</t>
        </is>
      </c>
      <c r="C152" s="13" t="inlineStr">
        <is>
          <t>148</t>
        </is>
      </c>
      <c r="D152" s="13" t="inlineStr">
        <is>
          <t>Lujee International Company Ltd</t>
        </is>
      </c>
      <c r="E152" s="13" t="inlineStr">
        <is>
          <t>24.09.2024</t>
        </is>
      </c>
      <c r="F152" s="13" t="inlineStr">
        <is>
          <t>21.11.2024</t>
        </is>
      </c>
      <c r="G152" s="13" t="inlineStr">
        <is>
          <t>2024</t>
        </is>
      </c>
      <c r="H152" s="13" t="inlineStr">
        <is>
          <t>provisionally Areca nuts (whole) and provisionally preserved Areca Nut( split)</t>
        </is>
      </c>
      <c r="I152" s="13" t="inlineStr">
        <is>
          <t>Classification</t>
        </is>
      </c>
      <c r="J152" s="13" t="inlineStr">
        <is>
          <t>inferred</t>
        </is>
      </c>
      <c r="K152" s="13" t="inlineStr">
        <is>
          <t>CAAR/Delhi/Lujee/84/2024</t>
        </is>
      </c>
      <c r="L152" s="14" t="inlineStr">
        <is>
          <t>https://www.cbic.gov.in/content/pdf/CONTENTREPO/CAAR/Lujee1_24092024.pdf</t>
        </is>
      </c>
      <c r="M152" s="13" t="inlineStr">
        <is>
          <t>YES</t>
        </is>
      </c>
    </row>
    <row r="153">
      <c r="A153" s="13" t="inlineStr">
        <is>
          <t>Delhi Rulings</t>
        </is>
      </c>
      <c r="B153" s="13" t="inlineStr">
        <is>
          <t>15</t>
        </is>
      </c>
      <c r="C153" s="13" t="inlineStr">
        <is>
          <t>149</t>
        </is>
      </c>
      <c r="D153" s="13" t="inlineStr">
        <is>
          <t>Lujee International Company Ltd</t>
        </is>
      </c>
      <c r="E153" s="13" t="inlineStr">
        <is>
          <t>30.08.2024</t>
        </is>
      </c>
      <c r="F153" s="13" t="inlineStr">
        <is>
          <t>21.11.2024</t>
        </is>
      </c>
      <c r="G153" s="13" t="inlineStr">
        <is>
          <t>2024</t>
        </is>
      </c>
      <c r="H153" s="13" t="inlineStr">
        <is>
          <t>Roasted areca nuts (whole, cut, split)</t>
        </is>
      </c>
      <c r="I153" s="13" t="inlineStr">
        <is>
          <t>Classification</t>
        </is>
      </c>
      <c r="J153" s="13" t="inlineStr">
        <is>
          <t>inferred</t>
        </is>
      </c>
      <c r="K153" s="13" t="inlineStr">
        <is>
          <t>CAAR/Delhi/Lujee/84/2024</t>
        </is>
      </c>
      <c r="L153" s="14" t="inlineStr">
        <is>
          <t>https://www.cbic.gov.in/content/pdf/CONTENTREPO/CAAR/Lujee_ruling_22112024.pdf</t>
        </is>
      </c>
      <c r="M153" s="13" t="inlineStr">
        <is>
          <t>YES</t>
        </is>
      </c>
    </row>
    <row r="154">
      <c r="A154" s="13" t="inlineStr">
        <is>
          <t>Delhi Rulings</t>
        </is>
      </c>
      <c r="B154" s="13" t="inlineStr">
        <is>
          <t>15</t>
        </is>
      </c>
      <c r="C154" s="13" t="inlineStr">
        <is>
          <t>150</t>
        </is>
      </c>
      <c r="D154" s="13" t="inlineStr">
        <is>
          <t>Sunwoda Electronic India Pvt. Ltd.</t>
        </is>
      </c>
      <c r="E154" s="13" t="inlineStr">
        <is>
          <t>28.08.2024</t>
        </is>
      </c>
      <c r="F154" s="13" t="inlineStr">
        <is>
          <t>20.11.2024</t>
        </is>
      </c>
      <c r="G154" s="13" t="inlineStr">
        <is>
          <t>2024</t>
        </is>
      </c>
      <c r="H154" s="13" t="inlineStr">
        <is>
          <t>Lithium ion cells &amp; Inputs/parts used in manufacturing of Battery pack of cellular mobile phones</t>
        </is>
      </c>
      <c r="I154" s="13" t="inlineStr">
        <is>
          <t>Classification</t>
        </is>
      </c>
      <c r="J154" s="13" t="inlineStr">
        <is>
          <t>inferred</t>
        </is>
      </c>
      <c r="K154" s="13" t="inlineStr">
        <is>
          <t>CAAR/Delhi/Sunwoda/83/2024</t>
        </is>
      </c>
      <c r="L154" s="14" t="inlineStr">
        <is>
          <t>https://www.cbic.gov.in/content/pdf/CONTENTREPO/CAAR/caar-rul-delhi-83-21112024.pdf</t>
        </is>
      </c>
      <c r="M154" s="13" t="inlineStr">
        <is>
          <t>YES</t>
        </is>
      </c>
    </row>
    <row r="155">
      <c r="A155" s="13" t="inlineStr">
        <is>
          <t>Delhi Rulings</t>
        </is>
      </c>
      <c r="B155" s="13" t="inlineStr">
        <is>
          <t>16</t>
        </is>
      </c>
      <c r="C155" s="13" t="inlineStr">
        <is>
          <t>151</t>
        </is>
      </c>
      <c r="D155" s="13" t="inlineStr">
        <is>
          <t>Sunwoda Electronic India Pvt. Ltd.</t>
        </is>
      </c>
      <c r="E155" s="13" t="inlineStr">
        <is>
          <t>28.08.2024</t>
        </is>
      </c>
      <c r="F155" s="13" t="inlineStr">
        <is>
          <t>20.11.2024</t>
        </is>
      </c>
      <c r="G155" s="13" t="inlineStr">
        <is>
          <t>2024</t>
        </is>
      </c>
      <c r="H155" s="13" t="inlineStr">
        <is>
          <t>Lithium ion cells &amp; Inputs/parts used in manufacturing of Battery pack of cellular mobile phones</t>
        </is>
      </c>
      <c r="I155" s="13" t="inlineStr">
        <is>
          <t>Classification</t>
        </is>
      </c>
      <c r="J155" s="13" t="inlineStr">
        <is>
          <t>inferred</t>
        </is>
      </c>
      <c r="K155" s="13" t="inlineStr">
        <is>
          <t>CAAR/Delhi/Sunwoda/82/2024</t>
        </is>
      </c>
      <c r="L155" s="14" t="inlineStr">
        <is>
          <t>https://www.cbic.gov.in/content/pdf/CONTENTREPO/CAAR/caar-rul-delhi-82-21112024.pdf</t>
        </is>
      </c>
      <c r="M155" s="13" t="inlineStr">
        <is>
          <t>YES</t>
        </is>
      </c>
    </row>
    <row r="156">
      <c r="A156" s="13" t="inlineStr">
        <is>
          <t>Delhi Rulings</t>
        </is>
      </c>
      <c r="B156" s="13" t="inlineStr">
        <is>
          <t>16</t>
        </is>
      </c>
      <c r="C156" s="13" t="inlineStr">
        <is>
          <t>152</t>
        </is>
      </c>
      <c r="D156" s="13" t="inlineStr">
        <is>
          <t>Sunwoda Electronic India Pvt. Ltd.</t>
        </is>
      </c>
      <c r="E156" s="13" t="inlineStr">
        <is>
          <t>28.08.2024</t>
        </is>
      </c>
      <c r="F156" s="13" t="inlineStr">
        <is>
          <t>20.11.2024</t>
        </is>
      </c>
      <c r="G156" s="13" t="inlineStr">
        <is>
          <t>2024</t>
        </is>
      </c>
      <c r="H156" s="13" t="inlineStr">
        <is>
          <t>Lithium ion cells &amp; Inputs/parts used in manufacturing of Battery pack of cellular mobile phones</t>
        </is>
      </c>
      <c r="I156" s="13" t="inlineStr">
        <is>
          <t>Classification</t>
        </is>
      </c>
      <c r="J156" s="13" t="inlineStr">
        <is>
          <t>inferred</t>
        </is>
      </c>
      <c r="K156" s="13" t="inlineStr">
        <is>
          <t>CAAR/Delhi/Sunwoda/81/2024</t>
        </is>
      </c>
      <c r="L156" s="14" t="inlineStr">
        <is>
          <t>https://www.cbic.gov.in/content/pdf/CONTENTREPO/CAAR/caar-rul-delhi-81-21112024.pdf</t>
        </is>
      </c>
      <c r="M156" s="13" t="inlineStr">
        <is>
          <t>YES</t>
        </is>
      </c>
    </row>
    <row r="157">
      <c r="A157" s="13" t="inlineStr">
        <is>
          <t>Delhi Rulings</t>
        </is>
      </c>
      <c r="B157" s="13" t="inlineStr">
        <is>
          <t>16</t>
        </is>
      </c>
      <c r="C157" s="13" t="inlineStr">
        <is>
          <t>153</t>
        </is>
      </c>
      <c r="D157" s="13" t="inlineStr">
        <is>
          <t>M/s Betel Nuts Suppliers LLP</t>
        </is>
      </c>
      <c r="E157" s="13" t="inlineStr">
        <is>
          <t>23.09.2024</t>
        </is>
      </c>
      <c r="F157" s="13" t="inlineStr">
        <is>
          <t>01.11.2024</t>
        </is>
      </c>
      <c r="G157" s="13" t="inlineStr">
        <is>
          <t>2024</t>
        </is>
      </c>
      <c r="H157" s="13" t="inlineStr">
        <is>
          <t>Classification of goods</t>
        </is>
      </c>
      <c r="I157" s="13" t="inlineStr">
        <is>
          <t>Classification</t>
        </is>
      </c>
      <c r="J157" s="13" t="inlineStr">
        <is>
          <t>explicit</t>
        </is>
      </c>
      <c r="K157" s="13" t="inlineStr">
        <is>
          <t>CAAR/Del/Betelnut/80/2024</t>
        </is>
      </c>
      <c r="L157" s="14" t="inlineStr">
        <is>
          <t>https://www.cbic.gov.in/content/pdf/CONTENTREPO/CAAR/caar-rul-delhi-80-05112024.pdf</t>
        </is>
      </c>
      <c r="M157" s="13" t="inlineStr">
        <is>
          <t>YES</t>
        </is>
      </c>
    </row>
    <row r="158">
      <c r="A158" s="13" t="inlineStr">
        <is>
          <t>Delhi Rulings</t>
        </is>
      </c>
      <c r="B158" s="13" t="inlineStr">
        <is>
          <t>16</t>
        </is>
      </c>
      <c r="C158" s="13" t="inlineStr">
        <is>
          <t>154</t>
        </is>
      </c>
      <c r="D158" s="13" t="inlineStr">
        <is>
          <t>M/s Betel Nuts Suppliers LLP</t>
        </is>
      </c>
      <c r="E158" s="13" t="inlineStr">
        <is>
          <t>23.09.2024</t>
        </is>
      </c>
      <c r="F158" s="13" t="inlineStr">
        <is>
          <t>01.11.2024</t>
        </is>
      </c>
      <c r="G158" s="13" t="inlineStr">
        <is>
          <t>2024</t>
        </is>
      </c>
      <c r="H158" s="13" t="inlineStr">
        <is>
          <t>Classification of goods</t>
        </is>
      </c>
      <c r="I158" s="13" t="inlineStr">
        <is>
          <t>Classification</t>
        </is>
      </c>
      <c r="J158" s="13" t="inlineStr">
        <is>
          <t>explicit</t>
        </is>
      </c>
      <c r="K158" s="13" t="inlineStr">
        <is>
          <t>CAAR/Del/Betelnut/79/2024</t>
        </is>
      </c>
      <c r="L158" s="14" t="inlineStr">
        <is>
          <t>https://www.cbic.gov.in/content/pdf/CONTENTREPO/CAAR/caar-rul-delhi-79-05112024.pdf</t>
        </is>
      </c>
      <c r="M158" s="13" t="inlineStr">
        <is>
          <t>YES</t>
        </is>
      </c>
    </row>
    <row r="159">
      <c r="A159" s="13" t="inlineStr">
        <is>
          <t>Delhi Rulings</t>
        </is>
      </c>
      <c r="B159" s="13" t="inlineStr">
        <is>
          <t>16</t>
        </is>
      </c>
      <c r="C159" s="13" t="inlineStr">
        <is>
          <t>155</t>
        </is>
      </c>
      <c r="D159" s="13" t="inlineStr">
        <is>
          <t>M/s Lujee International Company Ltd</t>
        </is>
      </c>
      <c r="E159" s="13" t="inlineStr">
        <is>
          <t>24.09.2024</t>
        </is>
      </c>
      <c r="F159" s="13" t="inlineStr">
        <is>
          <t>01.11.2024</t>
        </is>
      </c>
      <c r="G159" s="13" t="inlineStr">
        <is>
          <t>2024</t>
        </is>
      </c>
      <c r="H159" s="13" t="inlineStr">
        <is>
          <t>Classification of goods</t>
        </is>
      </c>
      <c r="I159" s="13" t="inlineStr">
        <is>
          <t>Classification</t>
        </is>
      </c>
      <c r="J159" s="13" t="inlineStr">
        <is>
          <t>explicit</t>
        </is>
      </c>
      <c r="K159" s="13" t="inlineStr">
        <is>
          <t>CAAR/Del/Lujee/78/2024</t>
        </is>
      </c>
      <c r="L159" s="14" t="inlineStr">
        <is>
          <t>https://www.cbic.gov.in/content/pdf/CONTENTREPO/CAAR/caar-rul-delhi-78-05112024.pdf</t>
        </is>
      </c>
      <c r="M159" s="13" t="inlineStr">
        <is>
          <t>YES</t>
        </is>
      </c>
    </row>
    <row r="160">
      <c r="A160" s="13" t="inlineStr">
        <is>
          <t>Delhi Rulings</t>
        </is>
      </c>
      <c r="B160" s="13" t="inlineStr">
        <is>
          <t>16</t>
        </is>
      </c>
      <c r="C160" s="13" t="inlineStr">
        <is>
          <t>156</t>
        </is>
      </c>
      <c r="D160" s="13" t="inlineStr">
        <is>
          <t>M/s Maa Devsar Traders</t>
        </is>
      </c>
      <c r="E160" s="13" t="inlineStr">
        <is>
          <t>12.08.2024</t>
        </is>
      </c>
      <c r="F160" s="13" t="inlineStr">
        <is>
          <t>01.11.2024</t>
        </is>
      </c>
      <c r="G160" s="13" t="inlineStr">
        <is>
          <t>2024</t>
        </is>
      </c>
      <c r="H160" s="13" t="inlineStr">
        <is>
          <t>Classification of goods</t>
        </is>
      </c>
      <c r="I160" s="13" t="inlineStr">
        <is>
          <t>Classification</t>
        </is>
      </c>
      <c r="J160" s="13" t="inlineStr">
        <is>
          <t>explicit</t>
        </is>
      </c>
      <c r="K160" s="13" t="inlineStr">
        <is>
          <t>CAAR/Del/Devsar/77/2024</t>
        </is>
      </c>
      <c r="L160" s="14" t="inlineStr">
        <is>
          <t>https://www.cbic.gov.in/content/pdf/CONTENTREPO/CAAR/caar-rul-delhi-77-05112024.pdf</t>
        </is>
      </c>
      <c r="M160" s="13" t="inlineStr">
        <is>
          <t>YES</t>
        </is>
      </c>
    </row>
    <row r="161">
      <c r="A161" s="13" t="inlineStr">
        <is>
          <t>Delhi Rulings</t>
        </is>
      </c>
      <c r="B161" s="13" t="inlineStr">
        <is>
          <t>16</t>
        </is>
      </c>
      <c r="C161" s="13" t="inlineStr">
        <is>
          <t>157</t>
        </is>
      </c>
      <c r="D161" s="13" t="inlineStr">
        <is>
          <t>M/s Maa Devsar Traders</t>
        </is>
      </c>
      <c r="E161" s="13" t="inlineStr">
        <is>
          <t>12.08.2024</t>
        </is>
      </c>
      <c r="F161" s="13" t="inlineStr">
        <is>
          <t>01.11.2024</t>
        </is>
      </c>
      <c r="G161" s="13" t="inlineStr">
        <is>
          <t>2024</t>
        </is>
      </c>
      <c r="H161" s="13" t="inlineStr">
        <is>
          <t>Classification of goods</t>
        </is>
      </c>
      <c r="I161" s="13" t="inlineStr">
        <is>
          <t>Classification</t>
        </is>
      </c>
      <c r="J161" s="13" t="inlineStr">
        <is>
          <t>explicit</t>
        </is>
      </c>
      <c r="K161" s="13" t="inlineStr">
        <is>
          <t>CAAR/Del/Devsar/76/2024</t>
        </is>
      </c>
      <c r="L161" s="14" t="inlineStr">
        <is>
          <t>https://www.cbic.gov.in/content/pdf/CONTENTREPO/CAAR/caar-rul-delhi-76-05112024.pdf</t>
        </is>
      </c>
      <c r="M161" s="13" t="inlineStr">
        <is>
          <t>YES</t>
        </is>
      </c>
    </row>
    <row r="162">
      <c r="A162" s="13" t="inlineStr">
        <is>
          <t>Delhi Rulings</t>
        </is>
      </c>
      <c r="B162" s="13" t="inlineStr">
        <is>
          <t>16</t>
        </is>
      </c>
      <c r="C162" s="13" t="inlineStr">
        <is>
          <t>158</t>
        </is>
      </c>
      <c r="D162" s="13" t="inlineStr">
        <is>
          <t>M/s R V International</t>
        </is>
      </c>
      <c r="E162" s="13" t="inlineStr">
        <is>
          <t>23.09.2024</t>
        </is>
      </c>
      <c r="F162" s="13" t="inlineStr">
        <is>
          <t>01.11.2024</t>
        </is>
      </c>
      <c r="G162" s="13" t="inlineStr">
        <is>
          <t>2024</t>
        </is>
      </c>
      <c r="H162" s="13" t="inlineStr">
        <is>
          <t>Classification of goods</t>
        </is>
      </c>
      <c r="I162" s="13" t="inlineStr">
        <is>
          <t>Classification</t>
        </is>
      </c>
      <c r="J162" s="13" t="inlineStr">
        <is>
          <t>explicit</t>
        </is>
      </c>
      <c r="K162" s="13" t="inlineStr">
        <is>
          <t>CAAR/Del/RV intl/75/2024</t>
        </is>
      </c>
      <c r="L162" s="14" t="inlineStr">
        <is>
          <t>https://www.cbic.gov.in/content/pdf/CONTENTREPO/CAAR/caar-rul-delhi-75-05112024.pdf</t>
        </is>
      </c>
      <c r="M162" s="13" t="inlineStr">
        <is>
          <t>YES</t>
        </is>
      </c>
    </row>
    <row r="163">
      <c r="A163" s="13" t="inlineStr">
        <is>
          <t>Delhi Rulings</t>
        </is>
      </c>
      <c r="B163" s="13" t="inlineStr">
        <is>
          <t>16</t>
        </is>
      </c>
      <c r="C163" s="13" t="inlineStr">
        <is>
          <t>159</t>
        </is>
      </c>
      <c r="D163" s="13" t="inlineStr">
        <is>
          <t>M/s Maa Devsar Traders</t>
        </is>
      </c>
      <c r="E163" s="13" t="inlineStr">
        <is>
          <t>12.08.2024</t>
        </is>
      </c>
      <c r="F163" s="13" t="inlineStr">
        <is>
          <t>01.11.2024</t>
        </is>
      </c>
      <c r="G163" s="13" t="inlineStr">
        <is>
          <t>2024</t>
        </is>
      </c>
      <c r="H163" s="13" t="inlineStr">
        <is>
          <t>Classification of goods</t>
        </is>
      </c>
      <c r="I163" s="13" t="inlineStr">
        <is>
          <t>Classification</t>
        </is>
      </c>
      <c r="J163" s="13" t="inlineStr">
        <is>
          <t>explicit</t>
        </is>
      </c>
      <c r="K163" s="13" t="inlineStr">
        <is>
          <t>CAAR/Del/Devsar/74/2024</t>
        </is>
      </c>
      <c r="L163" s="14" t="inlineStr">
        <is>
          <t>https://www.cbic.gov.in/content/pdf/CONTENTREPO/CAAR/caar-rul-delhi-74-05112024.pdf</t>
        </is>
      </c>
      <c r="M163" s="13" t="inlineStr">
        <is>
          <t>YES</t>
        </is>
      </c>
    </row>
    <row r="164">
      <c r="A164" s="13" t="inlineStr">
        <is>
          <t>Delhi Rulings</t>
        </is>
      </c>
      <c r="B164" s="13" t="inlineStr">
        <is>
          <t>16</t>
        </is>
      </c>
      <c r="C164" s="13" t="inlineStr">
        <is>
          <t>160</t>
        </is>
      </c>
      <c r="D164" s="13" t="inlineStr">
        <is>
          <t>M/s Maa Devsar Traders</t>
        </is>
      </c>
      <c r="E164" s="13" t="inlineStr">
        <is>
          <t>12.08.2024</t>
        </is>
      </c>
      <c r="F164" s="13" t="inlineStr">
        <is>
          <t>01.11.2024</t>
        </is>
      </c>
      <c r="G164" s="13" t="inlineStr">
        <is>
          <t>2024</t>
        </is>
      </c>
      <c r="H164" s="13" t="inlineStr">
        <is>
          <t>Classification of goods</t>
        </is>
      </c>
      <c r="I164" s="13" t="inlineStr">
        <is>
          <t>Classification</t>
        </is>
      </c>
      <c r="J164" s="13" t="inlineStr">
        <is>
          <t>explicit</t>
        </is>
      </c>
      <c r="K164" s="13" t="inlineStr">
        <is>
          <t>CAAR/Del/Devsar/73/2024</t>
        </is>
      </c>
      <c r="L164" s="14" t="inlineStr">
        <is>
          <t>https://www.cbic.gov.in/content/pdf/CONTENTREPO/CAAR/caar-rul-delhi-73-05112024.pdf</t>
        </is>
      </c>
      <c r="M164" s="13" t="inlineStr">
        <is>
          <t>YES</t>
        </is>
      </c>
    </row>
    <row r="165">
      <c r="A165" s="13" t="inlineStr">
        <is>
          <t>Delhi Rulings</t>
        </is>
      </c>
      <c r="B165" s="13" t="inlineStr">
        <is>
          <t>17</t>
        </is>
      </c>
      <c r="C165" s="13" t="inlineStr">
        <is>
          <t>161</t>
        </is>
      </c>
      <c r="D165" s="13" t="inlineStr">
        <is>
          <t>M/s Lujee International Company Ltd</t>
        </is>
      </c>
      <c r="E165" s="13" t="inlineStr">
        <is>
          <t>30.08.2024</t>
        </is>
      </c>
      <c r="F165" s="13" t="inlineStr">
        <is>
          <t>29.10.2024</t>
        </is>
      </c>
      <c r="G165" s="13" t="inlineStr">
        <is>
          <t>2024</t>
        </is>
      </c>
      <c r="H165" s="13" t="inlineStr">
        <is>
          <t>Classification of goods</t>
        </is>
      </c>
      <c r="I165" s="13" t="inlineStr">
        <is>
          <t>Classification</t>
        </is>
      </c>
      <c r="J165" s="13" t="inlineStr">
        <is>
          <t>explicit</t>
        </is>
      </c>
      <c r="K165" s="13" t="inlineStr">
        <is>
          <t>CAAR/Del/Lujee/72/2024</t>
        </is>
      </c>
      <c r="L165" s="14" t="inlineStr">
        <is>
          <t>https://www.cbic.gov.in/content/pdf/CONTENTREPO/CAAR/caar-rul-delhi-72-05112024.pdf</t>
        </is>
      </c>
      <c r="M165" s="13" t="inlineStr">
        <is>
          <t>YES</t>
        </is>
      </c>
    </row>
    <row r="166">
      <c r="A166" s="13" t="inlineStr">
        <is>
          <t>Delhi Rulings</t>
        </is>
      </c>
      <c r="B166" s="13" t="inlineStr">
        <is>
          <t>17</t>
        </is>
      </c>
      <c r="C166" s="13" t="inlineStr">
        <is>
          <t>162</t>
        </is>
      </c>
      <c r="D166" s="13" t="inlineStr">
        <is>
          <t>M/s Solum India Hightech Pvt. Ltd</t>
        </is>
      </c>
      <c r="E166" s="13" t="inlineStr">
        <is>
          <t>15.07.2024</t>
        </is>
      </c>
      <c r="F166" s="13" t="inlineStr">
        <is>
          <t>22.10.2024</t>
        </is>
      </c>
      <c r="G166" s="13" t="inlineStr">
        <is>
          <t>2024</t>
        </is>
      </c>
      <c r="H166" s="13" t="inlineStr">
        <is>
          <t>Classification of goods.</t>
        </is>
      </c>
      <c r="I166" s="13" t="inlineStr">
        <is>
          <t>Classification</t>
        </is>
      </c>
      <c r="J166" s="13" t="inlineStr">
        <is>
          <t>explicit</t>
        </is>
      </c>
      <c r="K166" s="13" t="inlineStr">
        <is>
          <t>CAAR/Del/Solum/71/2024</t>
        </is>
      </c>
      <c r="L166" s="13" t="inlineStr"/>
      <c r="M166" s="13" t="inlineStr">
        <is>
          <t>NO</t>
        </is>
      </c>
    </row>
    <row r="167">
      <c r="A167" s="13" t="inlineStr">
        <is>
          <t>Delhi Rulings</t>
        </is>
      </c>
      <c r="B167" s="13" t="inlineStr">
        <is>
          <t>17</t>
        </is>
      </c>
      <c r="C167" s="13" t="inlineStr">
        <is>
          <t>163</t>
        </is>
      </c>
      <c r="D167" s="13" t="inlineStr">
        <is>
          <t>M/s Morya Traders.</t>
        </is>
      </c>
      <c r="E167" s="13" t="inlineStr">
        <is>
          <t>15.07.2024</t>
        </is>
      </c>
      <c r="F167" s="13" t="inlineStr">
        <is>
          <t>17.10.2024</t>
        </is>
      </c>
      <c r="G167" s="13" t="inlineStr">
        <is>
          <t>2024</t>
        </is>
      </c>
      <c r="H167" s="13" t="inlineStr">
        <is>
          <t>Classification of goods</t>
        </is>
      </c>
      <c r="I167" s="13" t="inlineStr">
        <is>
          <t>Classification</t>
        </is>
      </c>
      <c r="J167" s="13" t="inlineStr">
        <is>
          <t>explicit</t>
        </is>
      </c>
      <c r="K167" s="13" t="inlineStr">
        <is>
          <t>CAAR/Del/Morya Traders/70/2024</t>
        </is>
      </c>
      <c r="L167" s="14" t="inlineStr">
        <is>
          <t>https://www.cbic.gov.in/content/pdf/CONTENTREPO/CAAR/caar-del-70-morya-18102024.pdf</t>
        </is>
      </c>
      <c r="M167" s="13" t="inlineStr">
        <is>
          <t>YES</t>
        </is>
      </c>
    </row>
    <row r="168">
      <c r="A168" s="13" t="inlineStr">
        <is>
          <t>Delhi Rulings</t>
        </is>
      </c>
      <c r="B168" s="13" t="inlineStr">
        <is>
          <t>17</t>
        </is>
      </c>
      <c r="C168" s="13" t="inlineStr">
        <is>
          <t>164</t>
        </is>
      </c>
      <c r="D168" s="13" t="inlineStr">
        <is>
          <t>M/s Cuthber Passion LLP.</t>
        </is>
      </c>
      <c r="E168" s="13" t="inlineStr">
        <is>
          <t>29.07.2024</t>
        </is>
      </c>
      <c r="F168" s="13" t="inlineStr">
        <is>
          <t>14.10.2024</t>
        </is>
      </c>
      <c r="G168" s="13" t="inlineStr">
        <is>
          <t>2024</t>
        </is>
      </c>
      <c r="H168" s="13" t="inlineStr">
        <is>
          <t>Classification of goods</t>
        </is>
      </c>
      <c r="I168" s="13" t="inlineStr">
        <is>
          <t>Classification</t>
        </is>
      </c>
      <c r="J168" s="13" t="inlineStr">
        <is>
          <t>explicit</t>
        </is>
      </c>
      <c r="K168" s="13" t="inlineStr">
        <is>
          <t>CAAR/Del/cuthbert/69/2024</t>
        </is>
      </c>
      <c r="L168" s="14" t="inlineStr">
        <is>
          <t>https://www.cbic.gov.in/content/pdf/CONTENTREPO/CAAR/caar-del-69-cuth-17102024.pdf</t>
        </is>
      </c>
      <c r="M168" s="13" t="inlineStr">
        <is>
          <t>YES</t>
        </is>
      </c>
    </row>
    <row r="169">
      <c r="A169" s="13" t="inlineStr">
        <is>
          <t>Delhi Rulings</t>
        </is>
      </c>
      <c r="B169" s="13" t="inlineStr">
        <is>
          <t>17</t>
        </is>
      </c>
      <c r="C169" s="13" t="inlineStr">
        <is>
          <t>165</t>
        </is>
      </c>
      <c r="D169" s="13" t="inlineStr">
        <is>
          <t>M/s Cuthber Passion LLP.</t>
        </is>
      </c>
      <c r="E169" s="13" t="inlineStr">
        <is>
          <t>29.07.2024</t>
        </is>
      </c>
      <c r="F169" s="13" t="inlineStr">
        <is>
          <t>14.10.2024</t>
        </is>
      </c>
      <c r="G169" s="13" t="inlineStr">
        <is>
          <t>2024</t>
        </is>
      </c>
      <c r="H169" s="13" t="inlineStr">
        <is>
          <t>Classification of goods</t>
        </is>
      </c>
      <c r="I169" s="13" t="inlineStr">
        <is>
          <t>Classification</t>
        </is>
      </c>
      <c r="J169" s="13" t="inlineStr">
        <is>
          <t>explicit</t>
        </is>
      </c>
      <c r="K169" s="13" t="inlineStr">
        <is>
          <t>CAAR/Del/cuthbert/68/2024</t>
        </is>
      </c>
      <c r="L169" s="14" t="inlineStr">
        <is>
          <t>https://www.cbic.gov.in/content/pdf/CONTENTREPO/CAAR/caar-del-68-cuth-17102024.pdf</t>
        </is>
      </c>
      <c r="M169" s="13" t="inlineStr">
        <is>
          <t>YES</t>
        </is>
      </c>
    </row>
    <row r="170">
      <c r="A170" s="13" t="inlineStr">
        <is>
          <t>Delhi Rulings</t>
        </is>
      </c>
      <c r="B170" s="13" t="inlineStr">
        <is>
          <t>17</t>
        </is>
      </c>
      <c r="C170" s="13" t="inlineStr">
        <is>
          <t>166</t>
        </is>
      </c>
      <c r="D170" s="13" t="inlineStr">
        <is>
          <t>M/s Cuthber Passion LLP.</t>
        </is>
      </c>
      <c r="E170" s="13" t="inlineStr">
        <is>
          <t>29.07.2024</t>
        </is>
      </c>
      <c r="F170" s="13" t="inlineStr">
        <is>
          <t>10.10.2024</t>
        </is>
      </c>
      <c r="G170" s="13" t="inlineStr">
        <is>
          <t>2024</t>
        </is>
      </c>
      <c r="H170" s="13" t="inlineStr">
        <is>
          <t>Classification of goods</t>
        </is>
      </c>
      <c r="I170" s="13" t="inlineStr">
        <is>
          <t>Classification</t>
        </is>
      </c>
      <c r="J170" s="13" t="inlineStr">
        <is>
          <t>explicit</t>
        </is>
      </c>
      <c r="K170" s="13" t="inlineStr">
        <is>
          <t>CAAR/Del/cuthbert/67/2024</t>
        </is>
      </c>
      <c r="L170" s="14" t="inlineStr">
        <is>
          <t>https://www.cbic.gov.in/content/pdf/CONTENTREPO/CAAR/caar-del-67-dani-21102024.pdf</t>
        </is>
      </c>
      <c r="M170" s="13" t="inlineStr">
        <is>
          <t>YES</t>
        </is>
      </c>
    </row>
    <row r="171">
      <c r="A171" s="13" t="inlineStr">
        <is>
          <t>Delhi Rulings</t>
        </is>
      </c>
      <c r="B171" s="13" t="inlineStr">
        <is>
          <t>17</t>
        </is>
      </c>
      <c r="C171" s="13" t="inlineStr">
        <is>
          <t>167</t>
        </is>
      </c>
      <c r="D171" s="13" t="inlineStr">
        <is>
          <t>M/s Cuthber Passion LLP.</t>
        </is>
      </c>
      <c r="E171" s="13" t="inlineStr">
        <is>
          <t>29.07.2024</t>
        </is>
      </c>
      <c r="F171" s="13" t="inlineStr">
        <is>
          <t>14.10.2024</t>
        </is>
      </c>
      <c r="G171" s="13" t="inlineStr">
        <is>
          <t>2024</t>
        </is>
      </c>
      <c r="H171" s="13" t="inlineStr">
        <is>
          <t>Classification of goods</t>
        </is>
      </c>
      <c r="I171" s="13" t="inlineStr">
        <is>
          <t>Classification</t>
        </is>
      </c>
      <c r="J171" s="13" t="inlineStr">
        <is>
          <t>explicit</t>
        </is>
      </c>
      <c r="K171" s="13" t="inlineStr">
        <is>
          <t>CAAR/Del/cuthbert/66/2024</t>
        </is>
      </c>
      <c r="L171" s="14" t="inlineStr">
        <is>
          <t>https://www.cbic.gov.in/content/pdf/CONTENTREPO/CAAR/caar-del-66-dani-21102024.pdf</t>
        </is>
      </c>
      <c r="M171" s="13" t="inlineStr">
        <is>
          <t>YES</t>
        </is>
      </c>
    </row>
    <row r="172">
      <c r="A172" s="13" t="inlineStr">
        <is>
          <t>Delhi Rulings</t>
        </is>
      </c>
      <c r="B172" s="13" t="inlineStr">
        <is>
          <t>17</t>
        </is>
      </c>
      <c r="C172" s="13" t="inlineStr">
        <is>
          <t>168</t>
        </is>
      </c>
      <c r="D172" s="13" t="inlineStr">
        <is>
          <t>M/s Danisco India (P) Ltd.</t>
        </is>
      </c>
      <c r="E172" s="13" t="inlineStr">
        <is>
          <t>25.06.2024</t>
        </is>
      </c>
      <c r="F172" s="13" t="inlineStr">
        <is>
          <t>10.10.2024</t>
        </is>
      </c>
      <c r="G172" s="13" t="inlineStr">
        <is>
          <t>2024</t>
        </is>
      </c>
      <c r="H172" s="13" t="inlineStr">
        <is>
          <t>Classification of goods</t>
        </is>
      </c>
      <c r="I172" s="13" t="inlineStr">
        <is>
          <t>Classification</t>
        </is>
      </c>
      <c r="J172" s="13" t="inlineStr">
        <is>
          <t>explicit</t>
        </is>
      </c>
      <c r="K172" s="13" t="inlineStr">
        <is>
          <t>CAAR/Del/Danisco/65/2024</t>
        </is>
      </c>
      <c r="L172" s="14" t="inlineStr">
        <is>
          <t>https://www.cbic.gov.in/content/pdf/CONTENTREPO/CAAR/caar-del-65-dani-21102024.pdf</t>
        </is>
      </c>
      <c r="M172" s="13" t="inlineStr">
        <is>
          <t>YES</t>
        </is>
      </c>
    </row>
    <row r="173">
      <c r="A173" s="13" t="inlineStr">
        <is>
          <t>Delhi Rulings</t>
        </is>
      </c>
      <c r="B173" s="13" t="inlineStr">
        <is>
          <t>17</t>
        </is>
      </c>
      <c r="C173" s="13" t="inlineStr">
        <is>
          <t>169</t>
        </is>
      </c>
      <c r="D173" s="13" t="inlineStr">
        <is>
          <t>M/s Danisco India (P) Ltd.</t>
        </is>
      </c>
      <c r="E173" s="13" t="inlineStr">
        <is>
          <t>25.06.2024</t>
        </is>
      </c>
      <c r="F173" s="13" t="inlineStr">
        <is>
          <t>10.10.2024</t>
        </is>
      </c>
      <c r="G173" s="13" t="inlineStr">
        <is>
          <t>2024</t>
        </is>
      </c>
      <c r="H173" s="13" t="inlineStr">
        <is>
          <t>Classification of goods</t>
        </is>
      </c>
      <c r="I173" s="13" t="inlineStr">
        <is>
          <t>Classification</t>
        </is>
      </c>
      <c r="J173" s="13" t="inlineStr">
        <is>
          <t>explicit</t>
        </is>
      </c>
      <c r="K173" s="13" t="inlineStr">
        <is>
          <t>CAAR/Del/Danisco/64/2024</t>
        </is>
      </c>
      <c r="L173" s="14" t="inlineStr">
        <is>
          <t>https://www.cbic.gov.in/content/pdf/CONTENTREPO/CAAR/caar-del-64-danI-17102024.pdf</t>
        </is>
      </c>
      <c r="M173" s="13" t="inlineStr">
        <is>
          <t>YES</t>
        </is>
      </c>
    </row>
    <row r="174">
      <c r="A174" s="13" t="inlineStr">
        <is>
          <t>Delhi Rulings</t>
        </is>
      </c>
      <c r="B174" s="13" t="inlineStr">
        <is>
          <t>17</t>
        </is>
      </c>
      <c r="C174" s="13" t="inlineStr">
        <is>
          <t>170</t>
        </is>
      </c>
      <c r="D174" s="13" t="inlineStr">
        <is>
          <t>M/s Arista Networks.</t>
        </is>
      </c>
      <c r="E174" s="13" t="inlineStr">
        <is>
          <t>20.06.2024</t>
        </is>
      </c>
      <c r="F174" s="13" t="inlineStr">
        <is>
          <t>08.10.2024</t>
        </is>
      </c>
      <c r="G174" s="13" t="inlineStr">
        <is>
          <t>2024</t>
        </is>
      </c>
      <c r="H174" s="13" t="inlineStr">
        <is>
          <t>Determination of valuation of goods</t>
        </is>
      </c>
      <c r="I174" s="13" t="inlineStr">
        <is>
          <t>Valuation</t>
        </is>
      </c>
      <c r="J174" s="13" t="inlineStr">
        <is>
          <t>explicit</t>
        </is>
      </c>
      <c r="K174" s="13" t="inlineStr">
        <is>
          <t>CAAR/Del/Arista/63/2024</t>
        </is>
      </c>
      <c r="L174" s="14" t="inlineStr">
        <is>
          <t>https://www.cbic.gov.in/content/pdf/CONTENTREPO/CAAR/caar-del-63-Arista-17102024.pdf</t>
        </is>
      </c>
      <c r="M174" s="13" t="inlineStr">
        <is>
          <t>YES</t>
        </is>
      </c>
    </row>
    <row r="175">
      <c r="A175" s="13" t="inlineStr">
        <is>
          <t>Delhi Rulings</t>
        </is>
      </c>
      <c r="B175" s="13" t="inlineStr">
        <is>
          <t>18</t>
        </is>
      </c>
      <c r="C175" s="13" t="inlineStr">
        <is>
          <t>171</t>
        </is>
      </c>
      <c r="D175" s="13" t="inlineStr">
        <is>
          <t>M/s RV international</t>
        </is>
      </c>
      <c r="E175" s="13" t="inlineStr">
        <is>
          <t>31.07.2024</t>
        </is>
      </c>
      <c r="F175" s="13" t="inlineStr">
        <is>
          <t>03.10.2024</t>
        </is>
      </c>
      <c r="G175" s="13" t="inlineStr">
        <is>
          <t>2024</t>
        </is>
      </c>
      <c r="H175" s="13" t="inlineStr">
        <is>
          <t>Classification of goods.</t>
        </is>
      </c>
      <c r="I175" s="13" t="inlineStr">
        <is>
          <t>Classification</t>
        </is>
      </c>
      <c r="J175" s="13" t="inlineStr">
        <is>
          <t>explicit</t>
        </is>
      </c>
      <c r="K175" s="13" t="inlineStr">
        <is>
          <t>CAAR/Del/RV intl/62/2024</t>
        </is>
      </c>
      <c r="L175" s="14" t="inlineStr">
        <is>
          <t>https://www.cbic.gov.in/content/pdf/CONTENTREPO/CAAR/caar-del-63-09102024.pdf</t>
        </is>
      </c>
      <c r="M175" s="13" t="inlineStr">
        <is>
          <t>YES</t>
        </is>
      </c>
    </row>
    <row r="176">
      <c r="A176" s="13" t="inlineStr">
        <is>
          <t>Delhi Rulings</t>
        </is>
      </c>
      <c r="B176" s="13" t="inlineStr">
        <is>
          <t>18</t>
        </is>
      </c>
      <c r="C176" s="13" t="inlineStr">
        <is>
          <t>172</t>
        </is>
      </c>
      <c r="D176" s="13" t="inlineStr">
        <is>
          <t>M/s Wood Tech Indutries</t>
        </is>
      </c>
      <c r="E176" s="13" t="inlineStr">
        <is>
          <t>09.08.2024</t>
        </is>
      </c>
      <c r="F176" s="13" t="inlineStr">
        <is>
          <t>30.09.2024</t>
        </is>
      </c>
      <c r="G176" s="13" t="inlineStr">
        <is>
          <t>2024</t>
        </is>
      </c>
      <c r="H176" s="13" t="inlineStr">
        <is>
          <t>Classification of goods</t>
        </is>
      </c>
      <c r="I176" s="13" t="inlineStr">
        <is>
          <t>Classification</t>
        </is>
      </c>
      <c r="J176" s="13" t="inlineStr">
        <is>
          <t>explicit</t>
        </is>
      </c>
      <c r="K176" s="13" t="inlineStr">
        <is>
          <t>CAAR/Del/Wood Tech/61/2024</t>
        </is>
      </c>
      <c r="L176" s="14" t="inlineStr">
        <is>
          <t>https://www.cbic.gov.in/content/pdf/CONTENTREPO/CAAR/caar-rul-delhi-61-07102024.pdf</t>
        </is>
      </c>
      <c r="M176" s="13" t="inlineStr">
        <is>
          <t>YES</t>
        </is>
      </c>
    </row>
    <row r="177">
      <c r="A177" s="13" t="inlineStr">
        <is>
          <t>Delhi Rulings</t>
        </is>
      </c>
      <c r="B177" s="13" t="inlineStr">
        <is>
          <t>18</t>
        </is>
      </c>
      <c r="C177" s="13" t="inlineStr">
        <is>
          <t>173</t>
        </is>
      </c>
      <c r="D177" s="13" t="inlineStr">
        <is>
          <t>M/s Saga International</t>
        </is>
      </c>
      <c r="E177" s="13" t="inlineStr">
        <is>
          <t>01.07.2024</t>
        </is>
      </c>
      <c r="F177" s="13" t="inlineStr">
        <is>
          <t>30.09.2024</t>
        </is>
      </c>
      <c r="G177" s="13" t="inlineStr">
        <is>
          <t>2024</t>
        </is>
      </c>
      <c r="H177" s="13" t="inlineStr">
        <is>
          <t>Classification of goods</t>
        </is>
      </c>
      <c r="I177" s="13" t="inlineStr">
        <is>
          <t>Classification</t>
        </is>
      </c>
      <c r="J177" s="13" t="inlineStr">
        <is>
          <t>explicit</t>
        </is>
      </c>
      <c r="K177" s="13" t="inlineStr">
        <is>
          <t>CAAR/Del/Saga/60/2024</t>
        </is>
      </c>
      <c r="L177" s="14" t="inlineStr">
        <is>
          <t>https://www.cbic.gov.in/content/pdf/CONTENTREPO/CAAR/caar-rul-delhi-60-07102024.pdf</t>
        </is>
      </c>
      <c r="M177" s="13" t="inlineStr">
        <is>
          <t>YES</t>
        </is>
      </c>
    </row>
    <row r="178">
      <c r="A178" s="13" t="inlineStr">
        <is>
          <t>Delhi Rulings</t>
        </is>
      </c>
      <c r="B178" s="13" t="inlineStr">
        <is>
          <t>18</t>
        </is>
      </c>
      <c r="C178" s="13" t="inlineStr">
        <is>
          <t>174</t>
        </is>
      </c>
      <c r="D178" s="13" t="inlineStr">
        <is>
          <t>M/s Arista Networks limited</t>
        </is>
      </c>
      <c r="E178" s="13" t="inlineStr">
        <is>
          <t>20.06.2024</t>
        </is>
      </c>
      <c r="F178" s="13" t="inlineStr">
        <is>
          <t>26.09.2024</t>
        </is>
      </c>
      <c r="G178" s="13" t="inlineStr">
        <is>
          <t>2024</t>
        </is>
      </c>
      <c r="H178" s="13" t="inlineStr">
        <is>
          <t>Determination of valuation of goods</t>
        </is>
      </c>
      <c r="I178" s="13" t="inlineStr">
        <is>
          <t>Valuation</t>
        </is>
      </c>
      <c r="J178" s="13" t="inlineStr">
        <is>
          <t>explicit</t>
        </is>
      </c>
      <c r="K178" s="13" t="inlineStr">
        <is>
          <t>CAAR/Del/Arista/59/2024</t>
        </is>
      </c>
      <c r="L178" s="14" t="inlineStr">
        <is>
          <t>https://www.cbic.gov.in/content/pdf/CONTENTREPO/CAAR/caar-rul-delhi-59-07102024.pdf</t>
        </is>
      </c>
      <c r="M178" s="13" t="inlineStr">
        <is>
          <t>YES</t>
        </is>
      </c>
    </row>
    <row r="179">
      <c r="A179" s="13" t="inlineStr">
        <is>
          <t>Delhi Rulings</t>
        </is>
      </c>
      <c r="B179" s="13" t="inlineStr">
        <is>
          <t>18</t>
        </is>
      </c>
      <c r="C179" s="13" t="inlineStr">
        <is>
          <t>175</t>
        </is>
      </c>
      <c r="D179" s="13" t="inlineStr">
        <is>
          <t>M/s Arista Networks limited</t>
        </is>
      </c>
      <c r="E179" s="13" t="inlineStr">
        <is>
          <t>20.06.2024</t>
        </is>
      </c>
      <c r="F179" s="13" t="inlineStr">
        <is>
          <t>26.09.2024</t>
        </is>
      </c>
      <c r="G179" s="13" t="inlineStr">
        <is>
          <t>2024</t>
        </is>
      </c>
      <c r="H179" s="13" t="inlineStr">
        <is>
          <t>Determination of valuation of goods</t>
        </is>
      </c>
      <c r="I179" s="13" t="inlineStr">
        <is>
          <t>Valuation</t>
        </is>
      </c>
      <c r="J179" s="13" t="inlineStr">
        <is>
          <t>explicit</t>
        </is>
      </c>
      <c r="K179" s="13" t="inlineStr">
        <is>
          <t>CAAR/Del/Arista/58/2024</t>
        </is>
      </c>
      <c r="L179" s="14" t="inlineStr">
        <is>
          <t>https://www.cbic.gov.in/content/pdf/CONTENTREPO/CAAR/caar-rul-delhi-58-07102024.pdf</t>
        </is>
      </c>
      <c r="M179" s="13" t="inlineStr">
        <is>
          <t>YES</t>
        </is>
      </c>
    </row>
    <row r="180">
      <c r="A180" s="13" t="inlineStr">
        <is>
          <t>Delhi Rulings</t>
        </is>
      </c>
      <c r="B180" s="13" t="inlineStr">
        <is>
          <t>18</t>
        </is>
      </c>
      <c r="C180" s="13" t="inlineStr">
        <is>
          <t>176</t>
        </is>
      </c>
      <c r="D180" s="13" t="inlineStr">
        <is>
          <t>M/s Nokia Solutions</t>
        </is>
      </c>
      <c r="E180" s="13" t="inlineStr">
        <is>
          <t>05.07.2024</t>
        </is>
      </c>
      <c r="F180" s="13" t="inlineStr">
        <is>
          <t>26.09.2024</t>
        </is>
      </c>
      <c r="G180" s="13" t="inlineStr">
        <is>
          <t>2024</t>
        </is>
      </c>
      <c r="H180" s="13" t="inlineStr">
        <is>
          <t>Classification of goods</t>
        </is>
      </c>
      <c r="I180" s="13" t="inlineStr">
        <is>
          <t>Classification</t>
        </is>
      </c>
      <c r="J180" s="13" t="inlineStr">
        <is>
          <t>explicit</t>
        </is>
      </c>
      <c r="K180" s="13" t="inlineStr">
        <is>
          <t>CAAR/Del/Nokia/57/2024</t>
        </is>
      </c>
      <c r="L180" s="14" t="inlineStr">
        <is>
          <t>https://www.cbic.gov.in/content/pdf/CONTENTREPO/CAAR/caar-rul-delhi-57-07102024.pdf</t>
        </is>
      </c>
      <c r="M180" s="13" t="inlineStr">
        <is>
          <t>YES</t>
        </is>
      </c>
    </row>
    <row r="181">
      <c r="A181" s="13" t="inlineStr">
        <is>
          <t>Delhi Rulings</t>
        </is>
      </c>
      <c r="B181" s="13" t="inlineStr">
        <is>
          <t>18</t>
        </is>
      </c>
      <c r="C181" s="13" t="inlineStr">
        <is>
          <t>177</t>
        </is>
      </c>
      <c r="D181" s="13" t="inlineStr">
        <is>
          <t>M/s Nokia Solutions</t>
        </is>
      </c>
      <c r="E181" s="13" t="inlineStr">
        <is>
          <t>05.07.2024</t>
        </is>
      </c>
      <c r="F181" s="13" t="inlineStr">
        <is>
          <t>26.09.2024</t>
        </is>
      </c>
      <c r="G181" s="13" t="inlineStr">
        <is>
          <t>2024</t>
        </is>
      </c>
      <c r="H181" s="13" t="inlineStr">
        <is>
          <t>Classification of goods</t>
        </is>
      </c>
      <c r="I181" s="13" t="inlineStr">
        <is>
          <t>Classification</t>
        </is>
      </c>
      <c r="J181" s="13" t="inlineStr">
        <is>
          <t>explicit</t>
        </is>
      </c>
      <c r="K181" s="13" t="inlineStr">
        <is>
          <t>CAAR/Del/Nokia/56/2024</t>
        </is>
      </c>
      <c r="L181" s="14" t="inlineStr">
        <is>
          <t>https://www.cbic.gov.in/content/pdf/CONTENTREPO/CAAR/caar-rul-delhi-56-07102024.pdf</t>
        </is>
      </c>
      <c r="M181" s="13" t="inlineStr">
        <is>
          <t>YES</t>
        </is>
      </c>
    </row>
    <row r="182">
      <c r="A182" s="13" t="inlineStr">
        <is>
          <t>Delhi Rulings</t>
        </is>
      </c>
      <c r="B182" s="13" t="inlineStr">
        <is>
          <t>18</t>
        </is>
      </c>
      <c r="C182" s="13" t="inlineStr">
        <is>
          <t>178</t>
        </is>
      </c>
      <c r="D182" s="13" t="inlineStr">
        <is>
          <t>M/s Rawder Petroleum Pvt. Ltd.</t>
        </is>
      </c>
      <c r="E182" s="13" t="inlineStr">
        <is>
          <t>18.06.2024</t>
        </is>
      </c>
      <c r="F182" s="13" t="inlineStr">
        <is>
          <t>19.09.2024</t>
        </is>
      </c>
      <c r="G182" s="13" t="inlineStr">
        <is>
          <t>2024</t>
        </is>
      </c>
      <c r="H182" s="13" t="inlineStr">
        <is>
          <t>Roasted Areca Nut (whole, cut, split)</t>
        </is>
      </c>
      <c r="I182" s="13" t="inlineStr">
        <is>
          <t>Classification</t>
        </is>
      </c>
      <c r="J182" s="13" t="inlineStr">
        <is>
          <t>inferred</t>
        </is>
      </c>
      <c r="K182" s="13" t="inlineStr">
        <is>
          <t>CAAR/Del/Rawder/55/2024</t>
        </is>
      </c>
      <c r="L182" s="14" t="inlineStr">
        <is>
          <t>https://www.cbic.gov.in/content/pdf/CONTENTREPO/CAAR/Rawder_ruling_24092024.pdf</t>
        </is>
      </c>
      <c r="M182" s="13" t="inlineStr">
        <is>
          <t>YES</t>
        </is>
      </c>
    </row>
    <row r="183">
      <c r="A183" s="13" t="inlineStr">
        <is>
          <t>Delhi Rulings</t>
        </is>
      </c>
      <c r="B183" s="13" t="inlineStr">
        <is>
          <t>18</t>
        </is>
      </c>
      <c r="C183" s="13" t="inlineStr">
        <is>
          <t>179</t>
        </is>
      </c>
      <c r="D183" s="13" t="inlineStr">
        <is>
          <t>M/s Forever New Apparels Pvt. Ltd. (31/2024).</t>
        </is>
      </c>
      <c r="E183" s="13" t="inlineStr">
        <is>
          <t>26.06.2024</t>
        </is>
      </c>
      <c r="F183" s="13" t="inlineStr">
        <is>
          <t>19.09.2024</t>
        </is>
      </c>
      <c r="G183" s="13" t="inlineStr">
        <is>
          <t>2024</t>
        </is>
      </c>
      <c r="H183" s="13" t="inlineStr">
        <is>
          <t>Principle of valuation.</t>
        </is>
      </c>
      <c r="I183" s="13" t="inlineStr">
        <is>
          <t>Valuation</t>
        </is>
      </c>
      <c r="J183" s="13" t="inlineStr">
        <is>
          <t>explicit</t>
        </is>
      </c>
      <c r="K183" s="13" t="inlineStr">
        <is>
          <t>CAAR/Del/Forever/54/2024</t>
        </is>
      </c>
      <c r="L183" s="14" t="inlineStr">
        <is>
          <t>https://www.cbic.gov.in/content/pdf/CONTENTREPO/CAAR/caar-del-54-25092024.pdf</t>
        </is>
      </c>
      <c r="M183" s="13" t="inlineStr">
        <is>
          <t>YES</t>
        </is>
      </c>
    </row>
    <row r="184">
      <c r="A184" s="13" t="inlineStr">
        <is>
          <t>Delhi Rulings</t>
        </is>
      </c>
      <c r="B184" s="13" t="inlineStr">
        <is>
          <t>18</t>
        </is>
      </c>
      <c r="C184" s="13" t="inlineStr">
        <is>
          <t>180</t>
        </is>
      </c>
      <c r="D184" s="13" t="inlineStr">
        <is>
          <t>M/s Di Pec Exim LLP (75/2024).</t>
        </is>
      </c>
      <c r="E184" s="13" t="inlineStr">
        <is>
          <t>31.07.2024</t>
        </is>
      </c>
      <c r="F184" s="13" t="inlineStr">
        <is>
          <t>19.09.2024</t>
        </is>
      </c>
      <c r="G184" s="13" t="inlineStr">
        <is>
          <t>2024</t>
        </is>
      </c>
      <c r="H184" s="13" t="inlineStr">
        <is>
          <t>Roasted Areca Nut (whole, cut, split).</t>
        </is>
      </c>
      <c r="I184" s="13" t="inlineStr">
        <is>
          <t>Classification</t>
        </is>
      </c>
      <c r="J184" s="13" t="inlineStr">
        <is>
          <t>inferred</t>
        </is>
      </c>
      <c r="K184" s="13" t="inlineStr">
        <is>
          <t>CAAR/Del/DI PEC/53/2024</t>
        </is>
      </c>
      <c r="L184" s="14" t="inlineStr">
        <is>
          <t>https://www.cbic.gov.in/content/pdf/CONTENTREPO/CAAR/caar-del-53-25092024.pdf</t>
        </is>
      </c>
      <c r="M184" s="13" t="inlineStr">
        <is>
          <t>YES</t>
        </is>
      </c>
    </row>
    <row r="185">
      <c r="A185" s="13" t="inlineStr">
        <is>
          <t>Delhi Rulings</t>
        </is>
      </c>
      <c r="B185" s="13" t="inlineStr">
        <is>
          <t>19</t>
        </is>
      </c>
      <c r="C185" s="13" t="inlineStr">
        <is>
          <t>181</t>
        </is>
      </c>
      <c r="D185" s="13" t="inlineStr">
        <is>
          <t>M/s Cuthbert Passion LLP (71/2024)</t>
        </is>
      </c>
      <c r="E185" s="13" t="inlineStr">
        <is>
          <t>29.07.2024</t>
        </is>
      </c>
      <c r="F185" s="13" t="inlineStr">
        <is>
          <t>19.09.2024</t>
        </is>
      </c>
      <c r="G185" s="13" t="inlineStr">
        <is>
          <t>2024</t>
        </is>
      </c>
      <c r="H185" s="13" t="inlineStr">
        <is>
          <t>Roasted Areca Nut (whole, cut, split)</t>
        </is>
      </c>
      <c r="I185" s="13" t="inlineStr">
        <is>
          <t>Classification</t>
        </is>
      </c>
      <c r="J185" s="13" t="inlineStr">
        <is>
          <t>inferred</t>
        </is>
      </c>
      <c r="K185" s="13" t="inlineStr">
        <is>
          <t>CAAR/Del/Cuthbert/52/2024</t>
        </is>
      </c>
      <c r="L185" s="14" t="inlineStr">
        <is>
          <t>https://www.cbic.gov.in/content/pdf/CONTENTREPO/CAAR/cuthbert_ruling_24092024.pdf</t>
        </is>
      </c>
      <c r="M185" s="13" t="inlineStr">
        <is>
          <t>YES</t>
        </is>
      </c>
    </row>
    <row r="186">
      <c r="A186" s="13" t="inlineStr">
        <is>
          <t>Delhi Rulings</t>
        </is>
      </c>
      <c r="B186" s="13" t="inlineStr">
        <is>
          <t>19</t>
        </is>
      </c>
      <c r="C186" s="13" t="inlineStr">
        <is>
          <t>182</t>
        </is>
      </c>
      <c r="D186" s="13" t="inlineStr">
        <is>
          <t>M/s RV International (77/2024).</t>
        </is>
      </c>
      <c r="E186" s="13" t="inlineStr">
        <is>
          <t>31.07.2024</t>
        </is>
      </c>
      <c r="F186" s="13" t="inlineStr">
        <is>
          <t>11.09.2024</t>
        </is>
      </c>
      <c r="G186" s="13" t="inlineStr">
        <is>
          <t>2024</t>
        </is>
      </c>
      <c r="H186" s="13" t="inlineStr">
        <is>
          <t>Roasted Areca Nut (whole, cut, split)</t>
        </is>
      </c>
      <c r="I186" s="13" t="inlineStr">
        <is>
          <t>Classification</t>
        </is>
      </c>
      <c r="J186" s="13" t="inlineStr">
        <is>
          <t>inferred</t>
        </is>
      </c>
      <c r="K186" s="13" t="inlineStr">
        <is>
          <t>CAAR/Del/RV Intl./51/2024</t>
        </is>
      </c>
      <c r="L186" s="14" t="inlineStr">
        <is>
          <t>https://www.cbic.gov.in/content/pdf/CONTENTREPO/CAAR/caar-del-51-RV-17092024.pdf</t>
        </is>
      </c>
      <c r="M186" s="13" t="inlineStr">
        <is>
          <t>YES</t>
        </is>
      </c>
    </row>
    <row r="187">
      <c r="A187" s="13" t="inlineStr">
        <is>
          <t>Delhi Rulings</t>
        </is>
      </c>
      <c r="B187" s="13" t="inlineStr">
        <is>
          <t>19</t>
        </is>
      </c>
      <c r="C187" s="13" t="inlineStr">
        <is>
          <t>183</t>
        </is>
      </c>
      <c r="D187" s="13" t="inlineStr">
        <is>
          <t>M/s Saga International (61/2024)</t>
        </is>
      </c>
      <c r="E187" s="13" t="inlineStr">
        <is>
          <t>01.07.2024</t>
        </is>
      </c>
      <c r="F187" s="13" t="inlineStr">
        <is>
          <t>09.09.2024</t>
        </is>
      </c>
      <c r="G187" s="13" t="inlineStr">
        <is>
          <t>2024</t>
        </is>
      </c>
      <c r="H187" s="13" t="inlineStr">
        <is>
          <t>Roasted Areca Nut, Roasted Areca Nut (cut)</t>
        </is>
      </c>
      <c r="I187" s="13" t="inlineStr">
        <is>
          <t>Classification</t>
        </is>
      </c>
      <c r="J187" s="13" t="inlineStr">
        <is>
          <t>inferred</t>
        </is>
      </c>
      <c r="K187" s="13" t="inlineStr">
        <is>
          <t>CAAR/Del/Saga/50/2024</t>
        </is>
      </c>
      <c r="L187" s="14" t="inlineStr">
        <is>
          <t>https://www.cbic.gov.in/content/pdf/CONTENTREPO/CAAR/caar-delhi-50-13092024.pdf</t>
        </is>
      </c>
      <c r="M187" s="13" t="inlineStr">
        <is>
          <t>YES</t>
        </is>
      </c>
    </row>
    <row r="188">
      <c r="A188" s="13" t="inlineStr">
        <is>
          <t>Delhi Rulings</t>
        </is>
      </c>
      <c r="B188" s="13" t="inlineStr">
        <is>
          <t>19</t>
        </is>
      </c>
      <c r="C188" s="13" t="inlineStr">
        <is>
          <t>184</t>
        </is>
      </c>
      <c r="D188" s="13" t="inlineStr">
        <is>
          <t>M/s Saga International (59/2024)</t>
        </is>
      </c>
      <c r="E188" s="13" t="inlineStr">
        <is>
          <t>01.07.2024</t>
        </is>
      </c>
      <c r="F188" s="13" t="inlineStr">
        <is>
          <t>09.09.2024</t>
        </is>
      </c>
      <c r="G188" s="13" t="inlineStr">
        <is>
          <t>2024</t>
        </is>
      </c>
      <c r="H188" s="13" t="inlineStr">
        <is>
          <t>Roasted Areca Nut, Roasted Areca Nut (cut)</t>
        </is>
      </c>
      <c r="I188" s="13" t="inlineStr">
        <is>
          <t>Classification</t>
        </is>
      </c>
      <c r="J188" s="13" t="inlineStr">
        <is>
          <t>inferred</t>
        </is>
      </c>
      <c r="K188" s="13" t="inlineStr">
        <is>
          <t>CAAR/Del/Saga/49/2024</t>
        </is>
      </c>
      <c r="L188" s="14" t="inlineStr">
        <is>
          <t>https://www.cbic.gov.in/content/pdf/CONTENTREPO/CAAR/caar-delhi-49-13092024.pdf</t>
        </is>
      </c>
      <c r="M188" s="13" t="inlineStr">
        <is>
          <t>YES</t>
        </is>
      </c>
    </row>
    <row r="189">
      <c r="A189" s="13" t="inlineStr">
        <is>
          <t>Delhi Rulings</t>
        </is>
      </c>
      <c r="B189" s="13" t="inlineStr">
        <is>
          <t>19</t>
        </is>
      </c>
      <c r="C189" s="13" t="inlineStr">
        <is>
          <t>185</t>
        </is>
      </c>
      <c r="D189" s="13" t="inlineStr">
        <is>
          <t>M/s RV International.</t>
        </is>
      </c>
      <c r="E189" s="13" t="inlineStr">
        <is>
          <t>31.07.2024</t>
        </is>
      </c>
      <c r="F189" s="13" t="inlineStr">
        <is>
          <t>30.08.2024</t>
        </is>
      </c>
      <c r="G189" s="13" t="inlineStr">
        <is>
          <t>2024</t>
        </is>
      </c>
      <c r="H189" s="13" t="inlineStr">
        <is>
          <t>Classification of Areca Nut (whole/split/cut).</t>
        </is>
      </c>
      <c r="I189" s="13" t="inlineStr">
        <is>
          <t>Classification</t>
        </is>
      </c>
      <c r="J189" s="13" t="inlineStr">
        <is>
          <t>explicit</t>
        </is>
      </c>
      <c r="K189" s="13" t="inlineStr">
        <is>
          <t>CAAR/Del/RV Intll/48/2024</t>
        </is>
      </c>
      <c r="L189" s="14" t="inlineStr">
        <is>
          <t>https://www.cbic.gov.in/content/pdf/CONTENTREPO/CAAR/caar-del-48-03092024.pdf</t>
        </is>
      </c>
      <c r="M189" s="13" t="inlineStr">
        <is>
          <t>YES</t>
        </is>
      </c>
    </row>
    <row r="190">
      <c r="A190" s="13" t="inlineStr">
        <is>
          <t>Delhi Rulings</t>
        </is>
      </c>
      <c r="B190" s="13" t="inlineStr">
        <is>
          <t>19</t>
        </is>
      </c>
      <c r="C190" s="13" t="inlineStr">
        <is>
          <t>186</t>
        </is>
      </c>
      <c r="D190" s="13" t="inlineStr">
        <is>
          <t>M/s Cutberth Passion LLP.</t>
        </is>
      </c>
      <c r="E190" s="13" t="inlineStr">
        <is>
          <t>29.07.2024</t>
        </is>
      </c>
      <c r="F190" s="13" t="inlineStr">
        <is>
          <t>30.08.2024</t>
        </is>
      </c>
      <c r="G190" s="13" t="inlineStr">
        <is>
          <t>2024</t>
        </is>
      </c>
      <c r="H190" s="13" t="inlineStr">
        <is>
          <t>Classification of Areca Nut (whole/split/cut).</t>
        </is>
      </c>
      <c r="I190" s="13" t="inlineStr">
        <is>
          <t>Classification</t>
        </is>
      </c>
      <c r="J190" s="13" t="inlineStr">
        <is>
          <t>explicit</t>
        </is>
      </c>
      <c r="K190" s="13" t="inlineStr">
        <is>
          <t>CAAR/Del/Cutberth/47/2024</t>
        </is>
      </c>
      <c r="L190" s="14" t="inlineStr">
        <is>
          <t>https://www.cbic.gov.in/content/pdf/CONTENTREPO/CAAR/caar-del-47-03092024.pdf</t>
        </is>
      </c>
      <c r="M190" s="13" t="inlineStr">
        <is>
          <t>YES</t>
        </is>
      </c>
    </row>
    <row r="191">
      <c r="A191" s="13" t="inlineStr">
        <is>
          <t>Delhi Rulings</t>
        </is>
      </c>
      <c r="B191" s="13" t="inlineStr">
        <is>
          <t>19</t>
        </is>
      </c>
      <c r="C191" s="13" t="inlineStr">
        <is>
          <t>187</t>
        </is>
      </c>
      <c r="D191" s="13" t="inlineStr">
        <is>
          <t>M/s Forever New Apparels Pvt. Ltd. (30/2024)</t>
        </is>
      </c>
      <c r="E191" s="13" t="inlineStr">
        <is>
          <t>26.04.2024</t>
        </is>
      </c>
      <c r="F191" s="13" t="inlineStr">
        <is>
          <t>27.08.2024</t>
        </is>
      </c>
      <c r="G191" s="13" t="inlineStr">
        <is>
          <t>2024</t>
        </is>
      </c>
      <c r="H191" s="13" t="inlineStr">
        <is>
          <t>Principle of valuation</t>
        </is>
      </c>
      <c r="I191" s="13" t="inlineStr">
        <is>
          <t>Valuation</t>
        </is>
      </c>
      <c r="J191" s="13" t="inlineStr">
        <is>
          <t>explicit</t>
        </is>
      </c>
      <c r="K191" s="13" t="inlineStr">
        <is>
          <t>CAAR/Del/Forever/46/2024</t>
        </is>
      </c>
      <c r="L191" s="14" t="inlineStr">
        <is>
          <t>https://www.cbic.gov.in/content/pdf/CONTENTREPO/CAAR/caar-delhi-46-updated-17092024.pdf</t>
        </is>
      </c>
      <c r="M191" s="13" t="inlineStr">
        <is>
          <t>YES</t>
        </is>
      </c>
    </row>
    <row r="192">
      <c r="A192" s="13" t="inlineStr">
        <is>
          <t>Delhi Rulings</t>
        </is>
      </c>
      <c r="B192" s="13" t="inlineStr">
        <is>
          <t>19</t>
        </is>
      </c>
      <c r="C192" s="13" t="inlineStr">
        <is>
          <t>188</t>
        </is>
      </c>
      <c r="D192" s="13" t="inlineStr">
        <is>
          <t>M/s Forever New Apparels Pvt. Ltd. (32/2024)</t>
        </is>
      </c>
      <c r="E192" s="13" t="inlineStr">
        <is>
          <t>26.04.2024</t>
        </is>
      </c>
      <c r="F192" s="13" t="inlineStr">
        <is>
          <t>27.08.2024</t>
        </is>
      </c>
      <c r="G192" s="13" t="inlineStr">
        <is>
          <t>2024</t>
        </is>
      </c>
      <c r="H192" s="13" t="inlineStr">
        <is>
          <t>Principle of valuation</t>
        </is>
      </c>
      <c r="I192" s="13" t="inlineStr">
        <is>
          <t>Valuation</t>
        </is>
      </c>
      <c r="J192" s="13" t="inlineStr">
        <is>
          <t>explicit</t>
        </is>
      </c>
      <c r="K192" s="13" t="inlineStr">
        <is>
          <t>CAAR/Del/Forever/45/2024</t>
        </is>
      </c>
      <c r="L192" s="14" t="inlineStr">
        <is>
          <t>https://www.cbic.gov.in/content/pdf/CONTENTREPO/CAAR/caar-delhi-45-updated-17092024.pdf</t>
        </is>
      </c>
      <c r="M192" s="13" t="inlineStr">
        <is>
          <t>YES</t>
        </is>
      </c>
    </row>
    <row r="193">
      <c r="A193" s="13" t="inlineStr">
        <is>
          <t>Delhi Rulings</t>
        </is>
      </c>
      <c r="B193" s="13" t="inlineStr">
        <is>
          <t>19</t>
        </is>
      </c>
      <c r="C193" s="13" t="inlineStr">
        <is>
          <t>189</t>
        </is>
      </c>
      <c r="D193" s="13" t="inlineStr">
        <is>
          <t>M/s Lujee International Company Ltd. (44/2024).</t>
        </is>
      </c>
      <c r="E193" s="13" t="inlineStr">
        <is>
          <t>18.06.2024</t>
        </is>
      </c>
      <c r="F193" s="13" t="inlineStr">
        <is>
          <t>21.08.2024</t>
        </is>
      </c>
      <c r="G193" s="13" t="inlineStr">
        <is>
          <t>2024</t>
        </is>
      </c>
      <c r="H193" s="13" t="inlineStr">
        <is>
          <t>Classification on import of “Roasted Areca Nut (Whole/cut/split)”.</t>
        </is>
      </c>
      <c r="I193" s="13" t="inlineStr">
        <is>
          <t>Classification</t>
        </is>
      </c>
      <c r="J193" s="13" t="inlineStr">
        <is>
          <t>explicit</t>
        </is>
      </c>
      <c r="K193" s="13" t="inlineStr">
        <is>
          <t>CAAR/Del/Lujee/44/2024</t>
        </is>
      </c>
      <c r="L193" s="14" t="inlineStr">
        <is>
          <t>https://www.cbic.gov.in/content/pdf/CONTENTREPO/CAAR/caar-del-44-11092024.pdf</t>
        </is>
      </c>
      <c r="M193" s="13" t="inlineStr">
        <is>
          <t>YES</t>
        </is>
      </c>
    </row>
    <row r="194">
      <c r="A194" s="13" t="inlineStr">
        <is>
          <t>Delhi Rulings</t>
        </is>
      </c>
      <c r="B194" s="13" t="inlineStr">
        <is>
          <t>19</t>
        </is>
      </c>
      <c r="C194" s="13" t="inlineStr">
        <is>
          <t>190</t>
        </is>
      </c>
      <c r="D194" s="13" t="inlineStr">
        <is>
          <t>M/s Lujee International Company Ltd. (43/2024).</t>
        </is>
      </c>
      <c r="E194" s="13" t="inlineStr">
        <is>
          <t>18.06.2024</t>
        </is>
      </c>
      <c r="F194" s="13" t="inlineStr">
        <is>
          <t>21.08.2024</t>
        </is>
      </c>
      <c r="G194" s="13" t="inlineStr">
        <is>
          <t>2024</t>
        </is>
      </c>
      <c r="H194" s="13" t="inlineStr">
        <is>
          <t>Classification on import of “Roasted Areca Nut (Whole/cut/split)”.</t>
        </is>
      </c>
      <c r="I194" s="13" t="inlineStr">
        <is>
          <t>Classification</t>
        </is>
      </c>
      <c r="J194" s="13" t="inlineStr">
        <is>
          <t>explicit</t>
        </is>
      </c>
      <c r="K194" s="13" t="inlineStr">
        <is>
          <t>CAAR/Del/Lujee/43/2024</t>
        </is>
      </c>
      <c r="L194" s="14" t="inlineStr">
        <is>
          <t>https://www.cbic.gov.in/content/pdf/CONTENTREPO/CAAR/caar-del-43-11092024.pdf</t>
        </is>
      </c>
      <c r="M194" s="13" t="inlineStr">
        <is>
          <t>YES</t>
        </is>
      </c>
    </row>
    <row r="195">
      <c r="A195" s="13" t="inlineStr">
        <is>
          <t>Delhi Rulings</t>
        </is>
      </c>
      <c r="B195" s="13" t="inlineStr">
        <is>
          <t>20</t>
        </is>
      </c>
      <c r="C195" s="13" t="inlineStr">
        <is>
          <t>191</t>
        </is>
      </c>
      <c r="D195" s="13" t="inlineStr">
        <is>
          <t>M/s Lujee International Company Ltd. (42/2024).</t>
        </is>
      </c>
      <c r="E195" s="13" t="inlineStr">
        <is>
          <t>18.06.2024</t>
        </is>
      </c>
      <c r="F195" s="13" t="inlineStr">
        <is>
          <t>21.08.2024</t>
        </is>
      </c>
      <c r="G195" s="13" t="inlineStr">
        <is>
          <t>2024</t>
        </is>
      </c>
      <c r="H195" s="13" t="inlineStr">
        <is>
          <t>Classification on import of “Roasted Areca Nut (Whole/cut/split)”.</t>
        </is>
      </c>
      <c r="I195" s="13" t="inlineStr">
        <is>
          <t>Classification</t>
        </is>
      </c>
      <c r="J195" s="13" t="inlineStr">
        <is>
          <t>explicit</t>
        </is>
      </c>
      <c r="K195" s="13" t="inlineStr">
        <is>
          <t>CAAR/Del/Lujee/42/2024</t>
        </is>
      </c>
      <c r="L195" s="14" t="inlineStr">
        <is>
          <t>https://www.cbic.gov.in/content/pdf/CONTENTREPO/CAAR/caar-del-42-11092024.pdf</t>
        </is>
      </c>
      <c r="M195" s="13" t="inlineStr">
        <is>
          <t>YES</t>
        </is>
      </c>
    </row>
    <row r="196">
      <c r="A196" s="13" t="inlineStr">
        <is>
          <t>Delhi Rulings</t>
        </is>
      </c>
      <c r="B196" s="13" t="inlineStr">
        <is>
          <t>20</t>
        </is>
      </c>
      <c r="C196" s="13" t="inlineStr">
        <is>
          <t>192</t>
        </is>
      </c>
      <c r="D196" s="13" t="inlineStr">
        <is>
          <t>M/s Lujee International Company Ltd.(50/2024)</t>
        </is>
      </c>
      <c r="E196" s="13" t="inlineStr">
        <is>
          <t>18.06.2024</t>
        </is>
      </c>
      <c r="F196" s="13" t="inlineStr">
        <is>
          <t>19.08.2024</t>
        </is>
      </c>
      <c r="G196" s="13" t="inlineStr">
        <is>
          <t>2024</t>
        </is>
      </c>
      <c r="H196" s="13" t="inlineStr">
        <is>
          <t>Classification on import of “Roasted Areca Nut (Whole/cut/split)”.</t>
        </is>
      </c>
      <c r="I196" s="13" t="inlineStr">
        <is>
          <t>Classification</t>
        </is>
      </c>
      <c r="J196" s="13" t="inlineStr">
        <is>
          <t>explicit</t>
        </is>
      </c>
      <c r="K196" s="13" t="inlineStr">
        <is>
          <t>CAAR/Del/Lujee/41/2024</t>
        </is>
      </c>
      <c r="L196" s="14" t="inlineStr">
        <is>
          <t>https://www.cbic.gov.in/content/pdf/CONTENTREPO/CAAR/lujee-41-20082024.pdf</t>
        </is>
      </c>
      <c r="M196" s="13" t="inlineStr">
        <is>
          <t>YES</t>
        </is>
      </c>
    </row>
    <row r="197">
      <c r="A197" s="13" t="inlineStr">
        <is>
          <t>Delhi Rulings</t>
        </is>
      </c>
      <c r="B197" s="13" t="inlineStr">
        <is>
          <t>20</t>
        </is>
      </c>
      <c r="C197" s="13" t="inlineStr">
        <is>
          <t>193</t>
        </is>
      </c>
      <c r="D197" s="13" t="inlineStr">
        <is>
          <t>M/s BMW India Pvt. Ltd</t>
        </is>
      </c>
      <c r="E197" s="13" t="inlineStr">
        <is>
          <t>27.05.2024</t>
        </is>
      </c>
      <c r="F197" s="13" t="inlineStr">
        <is>
          <t>16.08.2024</t>
        </is>
      </c>
      <c r="G197" s="13" t="inlineStr">
        <is>
          <t>2024</t>
        </is>
      </c>
      <c r="H197" s="13" t="inlineStr">
        <is>
          <t>Import of components/parts/ sub-assemblies</t>
        </is>
      </c>
      <c r="I197" s="13" t="inlineStr">
        <is>
          <t>Classification</t>
        </is>
      </c>
      <c r="J197" s="13" t="inlineStr">
        <is>
          <t>inferred</t>
        </is>
      </c>
      <c r="K197" s="13" t="inlineStr">
        <is>
          <t>CAAR/Del/BMW/40/2024</t>
        </is>
      </c>
      <c r="L197" s="14" t="inlineStr">
        <is>
          <t>https://www.cbic.gov.in/content/pdf/CONTENTREPO/CAAR/bmw-del-40-20082024.pdf</t>
        </is>
      </c>
      <c r="M197" s="13" t="inlineStr">
        <is>
          <t>YES</t>
        </is>
      </c>
    </row>
    <row r="198">
      <c r="A198" s="13" t="inlineStr">
        <is>
          <t>Delhi Rulings</t>
        </is>
      </c>
      <c r="B198" s="13" t="inlineStr">
        <is>
          <t>20</t>
        </is>
      </c>
      <c r="C198" s="13" t="inlineStr">
        <is>
          <t>194</t>
        </is>
      </c>
      <c r="D198" s="13" t="inlineStr">
        <is>
          <t>M/s Lujee International Company Ltd.(56/2024).</t>
        </is>
      </c>
      <c r="E198" s="13" t="inlineStr">
        <is>
          <t>25.06.2024</t>
        </is>
      </c>
      <c r="F198" s="13" t="inlineStr">
        <is>
          <t>06.08.2024</t>
        </is>
      </c>
      <c r="G198" s="13" t="inlineStr">
        <is>
          <t>2024</t>
        </is>
      </c>
      <c r="H198" s="13" t="inlineStr">
        <is>
          <t>Classification on import of “Roasted Areca Nut (Whole/cut/split)”.</t>
        </is>
      </c>
      <c r="I198" s="13" t="inlineStr">
        <is>
          <t>Classification</t>
        </is>
      </c>
      <c r="J198" s="13" t="inlineStr">
        <is>
          <t>explicit</t>
        </is>
      </c>
      <c r="K198" s="13" t="inlineStr">
        <is>
          <t>CAAR/Del/Lujee/39/2024</t>
        </is>
      </c>
      <c r="L198" s="14" t="inlineStr">
        <is>
          <t>https://www.cbic.gov.in/content/pdf/CONTENTREPO/CAAR/caar-del-39-lujee-08082024.pdf</t>
        </is>
      </c>
      <c r="M198" s="13" t="inlineStr">
        <is>
          <t>YES</t>
        </is>
      </c>
    </row>
    <row r="199">
      <c r="A199" s="13" t="inlineStr">
        <is>
          <t>Delhi Rulings</t>
        </is>
      </c>
      <c r="B199" s="13" t="inlineStr">
        <is>
          <t>20</t>
        </is>
      </c>
      <c r="C199" s="13" t="inlineStr">
        <is>
          <t>195</t>
        </is>
      </c>
      <c r="D199" s="13" t="inlineStr">
        <is>
          <t>M/s Amazon Wholesale India Pvt. Ltd. (35/2024).</t>
        </is>
      </c>
      <c r="E199" s="13" t="inlineStr">
        <is>
          <t>06.05.2024</t>
        </is>
      </c>
      <c r="F199" s="13" t="inlineStr">
        <is>
          <t>02.08.2024</t>
        </is>
      </c>
      <c r="G199" s="13" t="inlineStr">
        <is>
          <t>2024</t>
        </is>
      </c>
      <c r="H199" s="13" t="inlineStr">
        <is>
          <t>Classification on import of “Worksapces Thin Client”.</t>
        </is>
      </c>
      <c r="I199" s="13" t="inlineStr">
        <is>
          <t>Classification</t>
        </is>
      </c>
      <c r="J199" s="13" t="inlineStr">
        <is>
          <t>explicit</t>
        </is>
      </c>
      <c r="K199" s="13" t="inlineStr">
        <is>
          <t>CAAR/Del/Amazon/38/2024</t>
        </is>
      </c>
      <c r="L199" s="13" t="inlineStr"/>
      <c r="M199" s="13" t="inlineStr">
        <is>
          <t>NO</t>
        </is>
      </c>
    </row>
    <row r="200">
      <c r="A200" s="13" t="inlineStr">
        <is>
          <t>Delhi Rulings</t>
        </is>
      </c>
      <c r="B200" s="13" t="inlineStr">
        <is>
          <t>20</t>
        </is>
      </c>
      <c r="C200" s="13" t="inlineStr">
        <is>
          <t>196</t>
        </is>
      </c>
      <c r="D200" s="13" t="inlineStr">
        <is>
          <t>M/s DI PEC Exim LLP (37/2024).</t>
        </is>
      </c>
      <c r="E200" s="13" t="inlineStr">
        <is>
          <t>04.06.2024</t>
        </is>
      </c>
      <c r="F200" s="13" t="inlineStr">
        <is>
          <t>31.07.2024</t>
        </is>
      </c>
      <c r="G200" s="13" t="inlineStr">
        <is>
          <t>2024</t>
        </is>
      </c>
      <c r="H200" s="13" t="inlineStr">
        <is>
          <t>Classification on import of “Roasted Areca Nut (Whole/cut/split)”.</t>
        </is>
      </c>
      <c r="I200" s="13" t="inlineStr">
        <is>
          <t>Classification</t>
        </is>
      </c>
      <c r="J200" s="13" t="inlineStr">
        <is>
          <t>explicit</t>
        </is>
      </c>
      <c r="K200" s="13" t="inlineStr">
        <is>
          <t>CAAR/Del/DI PEC/37/2024</t>
        </is>
      </c>
      <c r="L200" s="14" t="inlineStr">
        <is>
          <t>https://www.cbic.gov.in/content/pdf/CONTENTREPO/CAAR/car-del-37-01082024.pdf</t>
        </is>
      </c>
      <c r="M200" s="13" t="inlineStr">
        <is>
          <t>YES</t>
        </is>
      </c>
    </row>
    <row r="201">
      <c r="A201" s="13" t="inlineStr">
        <is>
          <t>Delhi Rulings</t>
        </is>
      </c>
      <c r="B201" s="13" t="inlineStr">
        <is>
          <t>20</t>
        </is>
      </c>
      <c r="C201" s="13" t="inlineStr">
        <is>
          <t>197</t>
        </is>
      </c>
      <c r="D201" s="13" t="inlineStr">
        <is>
          <t>M/s DI PEC Exim LLP (36/2024).</t>
        </is>
      </c>
      <c r="E201" s="13" t="inlineStr">
        <is>
          <t>04.06.2024</t>
        </is>
      </c>
      <c r="F201" s="13" t="inlineStr">
        <is>
          <t>26.07.2024</t>
        </is>
      </c>
      <c r="G201" s="13" t="inlineStr">
        <is>
          <t>2024</t>
        </is>
      </c>
      <c r="H201" s="13" t="inlineStr">
        <is>
          <t>Classification on import of “Roasted Areca Nut (Whole/cut/split)”.</t>
        </is>
      </c>
      <c r="I201" s="13" t="inlineStr">
        <is>
          <t>Classification</t>
        </is>
      </c>
      <c r="J201" s="13" t="inlineStr">
        <is>
          <t>explicit</t>
        </is>
      </c>
      <c r="K201" s="13" t="inlineStr">
        <is>
          <t>CAAR/Del/DI PEC/36/2024</t>
        </is>
      </c>
      <c r="L201" s="14" t="inlineStr">
        <is>
          <t>https://www.cbic.gov.in/content/pdf/CONTENTREPO/CAAR/car-del-36-01082024.pdf</t>
        </is>
      </c>
      <c r="M201" s="13" t="inlineStr">
        <is>
          <t>YES</t>
        </is>
      </c>
    </row>
    <row r="202">
      <c r="A202" s="13" t="inlineStr">
        <is>
          <t>Delhi Rulings</t>
        </is>
      </c>
      <c r="B202" s="13" t="inlineStr">
        <is>
          <t>20</t>
        </is>
      </c>
      <c r="C202" s="13" t="inlineStr">
        <is>
          <t>198</t>
        </is>
      </c>
      <c r="D202" s="13" t="inlineStr">
        <is>
          <t>M/s DI PEC Exim LLP (35/2024).</t>
        </is>
      </c>
      <c r="E202" s="13" t="inlineStr">
        <is>
          <t>04.06.2024</t>
        </is>
      </c>
      <c r="F202" s="13" t="inlineStr">
        <is>
          <t>26.07.2024</t>
        </is>
      </c>
      <c r="G202" s="13" t="inlineStr">
        <is>
          <t>2024</t>
        </is>
      </c>
      <c r="H202" s="13" t="inlineStr">
        <is>
          <t>Classification on import of “Roasted Areca Nut (Whole/cut/split)”.</t>
        </is>
      </c>
      <c r="I202" s="13" t="inlineStr">
        <is>
          <t>Classification</t>
        </is>
      </c>
      <c r="J202" s="13" t="inlineStr">
        <is>
          <t>explicit</t>
        </is>
      </c>
      <c r="K202" s="13" t="inlineStr">
        <is>
          <t>CAAR/Del/DI PEC/35/2024</t>
        </is>
      </c>
      <c r="L202" s="14" t="inlineStr">
        <is>
          <t>https://www.cbic.gov.in/content/pdf/CONTENTREPO/CAAR/car-del-35-01082024.pdf</t>
        </is>
      </c>
      <c r="M202" s="13" t="inlineStr">
        <is>
          <t>YES</t>
        </is>
      </c>
    </row>
    <row r="203">
      <c r="A203" s="13" t="inlineStr">
        <is>
          <t>Delhi Rulings</t>
        </is>
      </c>
      <c r="B203" s="13" t="inlineStr">
        <is>
          <t>20</t>
        </is>
      </c>
      <c r="C203" s="13" t="inlineStr">
        <is>
          <t>199</t>
        </is>
      </c>
      <c r="D203" s="13" t="inlineStr">
        <is>
          <t>M/s DI PEC Exim LLP (34/2024).</t>
        </is>
      </c>
      <c r="E203" s="13" t="inlineStr">
        <is>
          <t>04.06.2024</t>
        </is>
      </c>
      <c r="F203" s="13" t="inlineStr">
        <is>
          <t>25.07.2024</t>
        </is>
      </c>
      <c r="G203" s="13" t="inlineStr">
        <is>
          <t>2024</t>
        </is>
      </c>
      <c r="H203" s="13" t="inlineStr">
        <is>
          <t>Classification on import of “Roasted Areca Nut (Whole/cut/split)”.</t>
        </is>
      </c>
      <c r="I203" s="13" t="inlineStr">
        <is>
          <t>Classification</t>
        </is>
      </c>
      <c r="J203" s="13" t="inlineStr">
        <is>
          <t>explicit</t>
        </is>
      </c>
      <c r="K203" s="13" t="inlineStr">
        <is>
          <t>CAAR/Del/DI PEC/34/2024</t>
        </is>
      </c>
      <c r="L203" s="14" t="inlineStr">
        <is>
          <t>https://www.cbic.gov.in/content/pdf/CONTENTREPO/CAAR/car-del-34-01082024.pdf</t>
        </is>
      </c>
      <c r="M203" s="13" t="inlineStr">
        <is>
          <t>YES</t>
        </is>
      </c>
    </row>
    <row r="204">
      <c r="A204" s="13" t="inlineStr">
        <is>
          <t>Delhi Rulings</t>
        </is>
      </c>
      <c r="B204" s="13" t="inlineStr">
        <is>
          <t>20</t>
        </is>
      </c>
      <c r="C204" s="13" t="inlineStr">
        <is>
          <t>200</t>
        </is>
      </c>
      <c r="D204" s="13" t="inlineStr">
        <is>
          <t>M/s Inditex Trent Retail India Pvt. Ltd.</t>
        </is>
      </c>
      <c r="E204" s="13" t="inlineStr">
        <is>
          <t>01.05.2024</t>
        </is>
      </c>
      <c r="F204" s="13" t="inlineStr">
        <is>
          <t>19.07.2024</t>
        </is>
      </c>
      <c r="G204" s="13" t="inlineStr">
        <is>
          <t>2024</t>
        </is>
      </c>
      <c r="H204" s="13" t="inlineStr">
        <is>
          <t>Origin Criteria as per Notification 189/2019 dated 31.12.2009 on import of “Footwear of ZARA brand t</t>
        </is>
      </c>
      <c r="I204" s="13" t="inlineStr">
        <is>
          <t>Exemption</t>
        </is>
      </c>
      <c r="J204" s="13" t="inlineStr">
        <is>
          <t>explicit</t>
        </is>
      </c>
      <c r="K204" s="13" t="inlineStr">
        <is>
          <t>CAAR/Del/Inditex/33/2024</t>
        </is>
      </c>
      <c r="L204" s="13" t="inlineStr"/>
      <c r="M204" s="13" t="inlineStr">
        <is>
          <t>NO</t>
        </is>
      </c>
    </row>
    <row r="205">
      <c r="A205" s="13" t="inlineStr">
        <is>
          <t>Delhi Rulings</t>
        </is>
      </c>
      <c r="B205" s="13" t="inlineStr">
        <is>
          <t>21</t>
        </is>
      </c>
      <c r="C205" s="13" t="inlineStr">
        <is>
          <t>201</t>
        </is>
      </c>
      <c r="D205" s="13" t="inlineStr">
        <is>
          <t>M/s DI PEC Exim LLP (45/2024).</t>
        </is>
      </c>
      <c r="E205" s="13" t="inlineStr">
        <is>
          <t>04.06.2024</t>
        </is>
      </c>
      <c r="F205" s="13" t="inlineStr">
        <is>
          <t>16.07.2024</t>
        </is>
      </c>
      <c r="G205" s="13" t="inlineStr">
        <is>
          <t>2024</t>
        </is>
      </c>
      <c r="H205" s="13" t="inlineStr">
        <is>
          <t>Classification on import of “Roasted Areca Nut (Whole/cut/split)”.</t>
        </is>
      </c>
      <c r="I205" s="13" t="inlineStr">
        <is>
          <t>Classification</t>
        </is>
      </c>
      <c r="J205" s="13" t="inlineStr">
        <is>
          <t>explicit</t>
        </is>
      </c>
      <c r="K205" s="13" t="inlineStr">
        <is>
          <t>CAAR/Del/DI PEC/32/2024</t>
        </is>
      </c>
      <c r="L205" s="14" t="inlineStr">
        <is>
          <t>https://www.cbic.gov.in/content/pdf/CONTENTREPO/CAAR/classification-caar-delhi-19072024.pdf</t>
        </is>
      </c>
      <c r="M205" s="13" t="inlineStr">
        <is>
          <t>YES</t>
        </is>
      </c>
    </row>
    <row r="206">
      <c r="A206" s="13" t="inlineStr">
        <is>
          <t>Delhi Rulings</t>
        </is>
      </c>
      <c r="B206" s="13" t="inlineStr">
        <is>
          <t>21</t>
        </is>
      </c>
      <c r="C206" s="13" t="inlineStr">
        <is>
          <t>202</t>
        </is>
      </c>
      <c r="D206" s="13" t="inlineStr">
        <is>
          <t>M/s DI PEC Exim LLP (44/2024)</t>
        </is>
      </c>
      <c r="E206" s="13" t="inlineStr">
        <is>
          <t>04.06.2024</t>
        </is>
      </c>
      <c r="F206" s="13" t="inlineStr">
        <is>
          <t>10.07.2024</t>
        </is>
      </c>
      <c r="G206" s="13" t="inlineStr">
        <is>
          <t>2024</t>
        </is>
      </c>
      <c r="H206" s="13" t="inlineStr">
        <is>
          <t>Classification on import of “Roasted Areca Nut (Whole/cut/split)”.</t>
        </is>
      </c>
      <c r="I206" s="13" t="inlineStr">
        <is>
          <t>Classification</t>
        </is>
      </c>
      <c r="J206" s="13" t="inlineStr">
        <is>
          <t>explicit</t>
        </is>
      </c>
      <c r="K206" s="13" t="inlineStr">
        <is>
          <t>CAAR/Del/DI PEC/31/2024</t>
        </is>
      </c>
      <c r="L206" s="14" t="inlineStr">
        <is>
          <t>https://www.cbic.gov.in/content/pdf/CONTENTREPO/CAAR/di_pec_31.pdf</t>
        </is>
      </c>
      <c r="M206" s="13" t="inlineStr">
        <is>
          <t>YES</t>
        </is>
      </c>
    </row>
    <row r="207">
      <c r="A207" s="13" t="inlineStr">
        <is>
          <t>Delhi Rulings</t>
        </is>
      </c>
      <c r="B207" s="13" t="inlineStr">
        <is>
          <t>21</t>
        </is>
      </c>
      <c r="C207" s="13" t="inlineStr">
        <is>
          <t>203</t>
        </is>
      </c>
      <c r="D207" s="13" t="inlineStr">
        <is>
          <t>M/s Exim Incorporation</t>
        </is>
      </c>
      <c r="E207" s="13" t="inlineStr">
        <is>
          <t>19.06.2024</t>
        </is>
      </c>
      <c r="F207" s="13" t="inlineStr">
        <is>
          <t>05.07.2024</t>
        </is>
      </c>
      <c r="G207" s="13" t="inlineStr">
        <is>
          <t>2024</t>
        </is>
      </c>
      <c r="H207" s="13" t="inlineStr">
        <is>
          <t>Classification on import of “Roasted Areca Nut Whole/cut/split”.</t>
        </is>
      </c>
      <c r="I207" s="13" t="inlineStr">
        <is>
          <t>Classification</t>
        </is>
      </c>
      <c r="J207" s="13" t="inlineStr">
        <is>
          <t>explicit</t>
        </is>
      </c>
      <c r="K207" s="13" t="inlineStr">
        <is>
          <t>CAAR/Del/Exim/30/2024</t>
        </is>
      </c>
      <c r="L207" s="14" t="inlineStr">
        <is>
          <t>https://www.cbic.gov.in/content/pdf/CONTENTREPO/CAAR/Exim.pdf</t>
        </is>
      </c>
      <c r="M207" s="13" t="inlineStr">
        <is>
          <t>YES</t>
        </is>
      </c>
    </row>
    <row r="208">
      <c r="A208" s="13" t="inlineStr">
        <is>
          <t>Delhi Rulings</t>
        </is>
      </c>
      <c r="B208" s="13" t="inlineStr">
        <is>
          <t>21</t>
        </is>
      </c>
      <c r="C208" s="13" t="inlineStr">
        <is>
          <t>204</t>
        </is>
      </c>
      <c r="D208" s="13" t="inlineStr">
        <is>
          <t>M/s Prenda Creations India Pvt. Ltd.</t>
        </is>
      </c>
      <c r="E208" s="13" t="inlineStr">
        <is>
          <t>16.04.2024</t>
        </is>
      </c>
      <c r="F208" s="13" t="inlineStr">
        <is>
          <t>26.06.2024</t>
        </is>
      </c>
      <c r="G208" s="13" t="inlineStr">
        <is>
          <t>2024</t>
        </is>
      </c>
      <c r="H208" s="13" t="inlineStr">
        <is>
          <t>Classification and Exemption notification applicability on import of “Areca Nut Whole/cut”.</t>
        </is>
      </c>
      <c r="I208" s="13" t="inlineStr">
        <is>
          <t>Exemption</t>
        </is>
      </c>
      <c r="J208" s="13" t="inlineStr">
        <is>
          <t>explicit</t>
        </is>
      </c>
      <c r="K208" s="13" t="inlineStr">
        <is>
          <t>CAAR/Del/Prenda/29/2024</t>
        </is>
      </c>
      <c r="L208" s="14" t="inlineStr">
        <is>
          <t>https://www.cbic.gov.in/content/pdf/CONTENTREPO/CAAR/Prenda-creations_updated_03072024.pdf</t>
        </is>
      </c>
      <c r="M208" s="13" t="inlineStr">
        <is>
          <t>YES</t>
        </is>
      </c>
    </row>
    <row r="209">
      <c r="A209" s="13" t="inlineStr">
        <is>
          <t>Delhi Rulings</t>
        </is>
      </c>
      <c r="B209" s="13" t="inlineStr">
        <is>
          <t>21</t>
        </is>
      </c>
      <c r="C209" s="13" t="inlineStr">
        <is>
          <t>205</t>
        </is>
      </c>
      <c r="D209" s="13" t="inlineStr">
        <is>
          <t>M/s ShreeHari Ananta Overseas Pvt. Ltd.</t>
        </is>
      </c>
      <c r="E209" s="13" t="inlineStr">
        <is>
          <t>13.05.2024</t>
        </is>
      </c>
      <c r="F209" s="13" t="inlineStr">
        <is>
          <t>28.06.2024</t>
        </is>
      </c>
      <c r="G209" s="13" t="inlineStr">
        <is>
          <t>2024</t>
        </is>
      </c>
      <c r="H209" s="13" t="inlineStr">
        <is>
          <t>Classification on import of “Areca Nut Whole/cut”.</t>
        </is>
      </c>
      <c r="I209" s="13" t="inlineStr">
        <is>
          <t>Classification</t>
        </is>
      </c>
      <c r="J209" s="13" t="inlineStr">
        <is>
          <t>explicit</t>
        </is>
      </c>
      <c r="K209" s="13" t="inlineStr">
        <is>
          <t>CAAR/Del/Shreehari/28/2024</t>
        </is>
      </c>
      <c r="L209" s="14" t="inlineStr">
        <is>
          <t>https://www.cbic.gov.in/content/pdf/CONTENTREPO/CAAR/ShreeHari_Ananta_Overseas_updated_03072024.pdf</t>
        </is>
      </c>
      <c r="M209" s="13" t="inlineStr">
        <is>
          <t>YES</t>
        </is>
      </c>
    </row>
    <row r="210">
      <c r="A210" s="13" t="inlineStr">
        <is>
          <t>Delhi Rulings</t>
        </is>
      </c>
      <c r="B210" s="13" t="inlineStr">
        <is>
          <t>21</t>
        </is>
      </c>
      <c r="C210" s="13" t="inlineStr">
        <is>
          <t>206</t>
        </is>
      </c>
      <c r="D210" s="13" t="inlineStr">
        <is>
          <t>M/s Winone Precision Technology India Pvt. Ltd.</t>
        </is>
      </c>
      <c r="E210" s="13" t="inlineStr">
        <is>
          <t>01.04.2024</t>
        </is>
      </c>
      <c r="F210" s="13" t="inlineStr">
        <is>
          <t>24.06.2024</t>
        </is>
      </c>
      <c r="G210" s="13" t="inlineStr">
        <is>
          <t>2024</t>
        </is>
      </c>
      <c r="H210" s="13" t="inlineStr">
        <is>
          <t>Classification and notification applicability on import of “mobile phone cover in finished form &amp; r</t>
        </is>
      </c>
      <c r="I210" s="13" t="inlineStr">
        <is>
          <t>Exemption</t>
        </is>
      </c>
      <c r="J210" s="13" t="inlineStr">
        <is>
          <t>explicit</t>
        </is>
      </c>
      <c r="K210" s="13" t="inlineStr">
        <is>
          <t>CAAR/Del/Winone/27/2024</t>
        </is>
      </c>
      <c r="L210" s="13" t="inlineStr"/>
      <c r="M210" s="13" t="inlineStr">
        <is>
          <t>NO</t>
        </is>
      </c>
    </row>
    <row r="211">
      <c r="A211" s="13" t="inlineStr">
        <is>
          <t>Delhi Rulings</t>
        </is>
      </c>
      <c r="B211" s="13" t="inlineStr">
        <is>
          <t>21</t>
        </is>
      </c>
      <c r="C211" s="13" t="inlineStr">
        <is>
          <t>207</t>
        </is>
      </c>
      <c r="D211" s="13" t="inlineStr">
        <is>
          <t>M/s Winone Precision Technology India Pvt. Ltd.</t>
        </is>
      </c>
      <c r="E211" s="13" t="inlineStr">
        <is>
          <t>01.04.2024</t>
        </is>
      </c>
      <c r="F211" s="13" t="inlineStr">
        <is>
          <t>24.06.2024</t>
        </is>
      </c>
      <c r="G211" s="13" t="inlineStr">
        <is>
          <t>2024</t>
        </is>
      </c>
      <c r="H211" s="13" t="inlineStr">
        <is>
          <t>Classification and notification applicability on import of “mobile phone cover in finished form &amp; r</t>
        </is>
      </c>
      <c r="I211" s="13" t="inlineStr">
        <is>
          <t>Exemption</t>
        </is>
      </c>
      <c r="J211" s="13" t="inlineStr">
        <is>
          <t>explicit</t>
        </is>
      </c>
      <c r="K211" s="13" t="inlineStr">
        <is>
          <t>CAAR/Del/Winone/26/2024</t>
        </is>
      </c>
      <c r="L211" s="13" t="inlineStr"/>
      <c r="M211" s="13" t="inlineStr">
        <is>
          <t>NO</t>
        </is>
      </c>
    </row>
    <row r="212">
      <c r="A212" s="13" t="inlineStr">
        <is>
          <t>Delhi Rulings</t>
        </is>
      </c>
      <c r="B212" s="13" t="inlineStr">
        <is>
          <t>21</t>
        </is>
      </c>
      <c r="C212" s="13" t="inlineStr">
        <is>
          <t>208</t>
        </is>
      </c>
      <c r="D212" s="13" t="inlineStr">
        <is>
          <t>M/s Denso Haryana Pvt. Ltd.</t>
        </is>
      </c>
      <c r="E212" s="13" t="inlineStr">
        <is>
          <t>26.03.2024</t>
        </is>
      </c>
      <c r="F212" s="13" t="inlineStr">
        <is>
          <t>06.06.2024</t>
        </is>
      </c>
      <c r="G212" s="13" t="inlineStr">
        <is>
          <t>2024</t>
        </is>
      </c>
      <c r="H212" s="13" t="inlineStr">
        <is>
          <t>Classification and notification applicability on import of Telematics Control Unit.</t>
        </is>
      </c>
      <c r="I212" s="13" t="inlineStr">
        <is>
          <t>Exemption</t>
        </is>
      </c>
      <c r="J212" s="13" t="inlineStr">
        <is>
          <t>explicit</t>
        </is>
      </c>
      <c r="K212" s="13" t="inlineStr">
        <is>
          <t>CAAR/Del/Denso/25/2024</t>
        </is>
      </c>
      <c r="L212" s="14" t="inlineStr">
        <is>
          <t>https://www.cbic.gov.in/content/pdf/CONTENTREPO/CAAR/caar-del-25-Denso-10062024.pdf</t>
        </is>
      </c>
      <c r="M212" s="13" t="inlineStr">
        <is>
          <t>YES</t>
        </is>
      </c>
    </row>
    <row r="213">
      <c r="A213" s="13" t="inlineStr">
        <is>
          <t>Delhi Rulings</t>
        </is>
      </c>
      <c r="B213" s="13" t="inlineStr">
        <is>
          <t>21</t>
        </is>
      </c>
      <c r="C213" s="13" t="inlineStr">
        <is>
          <t>209</t>
        </is>
      </c>
      <c r="D213" s="13" t="inlineStr">
        <is>
          <t>M/s Denso Haryana Pvt. Ltd.</t>
        </is>
      </c>
      <c r="E213" s="13" t="inlineStr">
        <is>
          <t>26.03.2024</t>
        </is>
      </c>
      <c r="F213" s="13" t="inlineStr">
        <is>
          <t>06.06.2024</t>
        </is>
      </c>
      <c r="G213" s="13" t="inlineStr">
        <is>
          <t>2024</t>
        </is>
      </c>
      <c r="H213" s="13" t="inlineStr">
        <is>
          <t>Classification and notification applicability on import of Inverter Assembly.</t>
        </is>
      </c>
      <c r="I213" s="13" t="inlineStr">
        <is>
          <t>Exemption</t>
        </is>
      </c>
      <c r="J213" s="13" t="inlineStr">
        <is>
          <t>explicit</t>
        </is>
      </c>
      <c r="K213" s="13" t="inlineStr">
        <is>
          <t>CAAR/Del/Denso/24/2024</t>
        </is>
      </c>
      <c r="L213" s="14" t="inlineStr">
        <is>
          <t>https://www.cbic.gov.in/content/pdf/CONTENTREPO/CAAR/caar-del-24-Denso-10062024.pdf</t>
        </is>
      </c>
      <c r="M213" s="13" t="inlineStr">
        <is>
          <t>YES</t>
        </is>
      </c>
    </row>
    <row r="214">
      <c r="A214" s="13" t="inlineStr">
        <is>
          <t>Delhi Rulings</t>
        </is>
      </c>
      <c r="B214" s="13" t="inlineStr">
        <is>
          <t>21</t>
        </is>
      </c>
      <c r="C214" s="13" t="inlineStr">
        <is>
          <t>210</t>
        </is>
      </c>
      <c r="D214" s="13" t="inlineStr">
        <is>
          <t>M/s Denso Haryana Pvt. Ltd.</t>
        </is>
      </c>
      <c r="E214" s="13" t="inlineStr">
        <is>
          <t>26.03.2024</t>
        </is>
      </c>
      <c r="F214" s="13" t="inlineStr">
        <is>
          <t>06.06.2024</t>
        </is>
      </c>
      <c r="G214" s="13" t="inlineStr">
        <is>
          <t>2024</t>
        </is>
      </c>
      <c r="H214" s="13" t="inlineStr">
        <is>
          <t>Classification and notification applicability on import of Inverter Assembly.</t>
        </is>
      </c>
      <c r="I214" s="13" t="inlineStr">
        <is>
          <t>Exemption</t>
        </is>
      </c>
      <c r="J214" s="13" t="inlineStr">
        <is>
          <t>explicit</t>
        </is>
      </c>
      <c r="K214" s="13" t="inlineStr">
        <is>
          <t>CAAR/Del/Denso/23/2024</t>
        </is>
      </c>
      <c r="L214" s="14" t="inlineStr">
        <is>
          <t>https://www.cbic.gov.in/content/pdf/CONTENTREPO/CAAR/caar-del-23-Denso-10062024.pdf</t>
        </is>
      </c>
      <c r="M214" s="13" t="inlineStr">
        <is>
          <t>YES</t>
        </is>
      </c>
    </row>
    <row r="215">
      <c r="A215" s="13" t="inlineStr">
        <is>
          <t>Delhi Rulings</t>
        </is>
      </c>
      <c r="B215" s="13" t="inlineStr">
        <is>
          <t>22</t>
        </is>
      </c>
      <c r="C215" s="13" t="inlineStr">
        <is>
          <t>211</t>
        </is>
      </c>
      <c r="D215" s="13" t="inlineStr">
        <is>
          <t>M/Samsung Display Noida Pvt Ltd. (16/2024)</t>
        </is>
      </c>
      <c r="E215" s="13" t="inlineStr">
        <is>
          <t>11/03/2024</t>
        </is>
      </c>
      <c r="F215" s="13" t="inlineStr">
        <is>
          <t>04/06/2024</t>
        </is>
      </c>
      <c r="G215" s="13" t="inlineStr">
        <is>
          <t>2024</t>
        </is>
      </c>
      <c r="H215" s="13" t="inlineStr">
        <is>
          <t>Notification applicability on inputs &amp; parts for use in manufacturing of display assemblies</t>
        </is>
      </c>
      <c r="I215" s="13" t="inlineStr">
        <is>
          <t>Exemption</t>
        </is>
      </c>
      <c r="J215" s="13" t="inlineStr">
        <is>
          <t>explicit</t>
        </is>
      </c>
      <c r="K215" s="13" t="inlineStr">
        <is>
          <t>CAAR/Del/Samsung Display/22/2024</t>
        </is>
      </c>
      <c r="L215" s="14" t="inlineStr">
        <is>
          <t>https://www.cbic.gov.in/content/pdf/CONTENTREPO/CAAR/caar-del-samsung-delhi-22-06062024.pdf</t>
        </is>
      </c>
      <c r="M215" s="13" t="inlineStr">
        <is>
          <t>YES</t>
        </is>
      </c>
    </row>
    <row r="216">
      <c r="A216" s="13" t="inlineStr">
        <is>
          <t>Delhi Rulings</t>
        </is>
      </c>
      <c r="B216" s="13" t="inlineStr">
        <is>
          <t>22</t>
        </is>
      </c>
      <c r="C216" s="13" t="inlineStr">
        <is>
          <t>212</t>
        </is>
      </c>
      <c r="D216" s="13" t="inlineStr">
        <is>
          <t>M/s Denso Haryana Private Limited (23/2024).</t>
        </is>
      </c>
      <c r="E216" s="13" t="inlineStr">
        <is>
          <t>26.03.2024</t>
        </is>
      </c>
      <c r="F216" s="13" t="inlineStr">
        <is>
          <t>30.05.2024</t>
        </is>
      </c>
      <c r="G216" s="13" t="inlineStr">
        <is>
          <t>2024</t>
        </is>
      </c>
      <c r="H216" s="13" t="inlineStr">
        <is>
          <t>Classification and notification applicability on Inverter Assembly</t>
        </is>
      </c>
      <c r="I216" s="13" t="inlineStr">
        <is>
          <t>Exemption</t>
        </is>
      </c>
      <c r="J216" s="13" t="inlineStr">
        <is>
          <t>explicit</t>
        </is>
      </c>
      <c r="K216" s="13" t="inlineStr">
        <is>
          <t>CAAR/Del/Denso/20/2024</t>
        </is>
      </c>
      <c r="L216" s="14" t="inlineStr">
        <is>
          <t>https://www.cbic.gov.in/content/pdf/CONTENTREPO/CAAR/caar-del-denso-18-05062024.pdf</t>
        </is>
      </c>
      <c r="M216" s="13" t="inlineStr">
        <is>
          <t>YES</t>
        </is>
      </c>
    </row>
    <row r="217">
      <c r="A217" s="13" t="inlineStr">
        <is>
          <t>Delhi Rulings</t>
        </is>
      </c>
      <c r="B217" s="13" t="inlineStr">
        <is>
          <t>22</t>
        </is>
      </c>
      <c r="C217" s="13" t="inlineStr">
        <is>
          <t>213</t>
        </is>
      </c>
      <c r="D217" s="13" t="inlineStr">
        <is>
          <t>M/s Denso Haryana Private Limited (19/2024)</t>
        </is>
      </c>
      <c r="E217" s="13" t="inlineStr">
        <is>
          <t>26.03.2024</t>
        </is>
      </c>
      <c r="F217" s="13" t="inlineStr">
        <is>
          <t>30.05.2024</t>
        </is>
      </c>
      <c r="G217" s="13" t="inlineStr">
        <is>
          <t>2024</t>
        </is>
      </c>
      <c r="H217" s="13" t="inlineStr">
        <is>
          <t>Classification and notification applicability Telematics Control Unit</t>
        </is>
      </c>
      <c r="I217" s="13" t="inlineStr">
        <is>
          <t>Exemption</t>
        </is>
      </c>
      <c r="J217" s="13" t="inlineStr">
        <is>
          <t>explicit</t>
        </is>
      </c>
      <c r="K217" s="13" t="inlineStr">
        <is>
          <t>Corrigendum</t>
        </is>
      </c>
      <c r="L217" s="14" t="inlineStr">
        <is>
          <t>https://www.cbic.gov.in/content/pdf/CONTENTREPO/CAAR/denso-ruling-18062024-delhi.pdf</t>
        </is>
      </c>
      <c r="M217" s="13" t="inlineStr">
        <is>
          <t>YES</t>
        </is>
      </c>
    </row>
    <row r="218">
      <c r="A218" s="13" t="inlineStr">
        <is>
          <t>Delhi Rulings</t>
        </is>
      </c>
      <c r="B218" s="13" t="inlineStr">
        <is>
          <t>22</t>
        </is>
      </c>
      <c r="C218" s="13" t="inlineStr">
        <is>
          <t>214</t>
        </is>
      </c>
      <c r="D218" s="13" t="inlineStr">
        <is>
          <t>M/s Vaibhav Enterprises.</t>
        </is>
      </c>
      <c r="E218" s="13" t="inlineStr">
        <is>
          <t>18.03.2024</t>
        </is>
      </c>
      <c r="F218" s="13" t="inlineStr">
        <is>
          <t>27.05.2024</t>
        </is>
      </c>
      <c r="G218" s="13" t="inlineStr">
        <is>
          <t>2024</t>
        </is>
      </c>
      <c r="H218" s="13" t="inlineStr">
        <is>
          <t>Classification of the subject goods [Roasted Areca Nut (Whole), Roasted Areca Nut (Split) &amp; Roasted</t>
        </is>
      </c>
      <c r="I218" s="13" t="inlineStr">
        <is>
          <t>Classification</t>
        </is>
      </c>
      <c r="J218" s="13" t="inlineStr">
        <is>
          <t>explicit</t>
        </is>
      </c>
      <c r="K218" s="13" t="inlineStr">
        <is>
          <t>CAAR/Del/Vaibhav/19/2024</t>
        </is>
      </c>
      <c r="L218" s="14" t="inlineStr">
        <is>
          <t>https://www.cbic.gov.in/content/pdf/CONTENTREPO/CAAR/caar-del-19-vaibhav-28052024.pdf</t>
        </is>
      </c>
      <c r="M218" s="13" t="inlineStr">
        <is>
          <t>YES</t>
        </is>
      </c>
    </row>
    <row r="219">
      <c r="A219" s="13" t="inlineStr">
        <is>
          <t>Delhi Rulings</t>
        </is>
      </c>
      <c r="B219" s="13" t="inlineStr">
        <is>
          <t>22</t>
        </is>
      </c>
      <c r="C219" s="13" t="inlineStr">
        <is>
          <t>215</t>
        </is>
      </c>
      <c r="D219" s="13" t="inlineStr">
        <is>
          <t>M/s Exim Incorporation.</t>
        </is>
      </c>
      <c r="E219" s="13" t="inlineStr">
        <is>
          <t>30.04.2024</t>
        </is>
      </c>
      <c r="F219" s="13" t="inlineStr">
        <is>
          <t>27.05.2024</t>
        </is>
      </c>
      <c r="G219" s="13" t="inlineStr">
        <is>
          <t>2024</t>
        </is>
      </c>
      <c r="H219" s="13" t="inlineStr">
        <is>
          <t>Classification of the subject goods [Roasted Areca Nut (Whole), Roasted Areca Nut(Split) &amp; Roasted A</t>
        </is>
      </c>
      <c r="I219" s="13" t="inlineStr">
        <is>
          <t>Classification</t>
        </is>
      </c>
      <c r="J219" s="13" t="inlineStr">
        <is>
          <t>explicit</t>
        </is>
      </c>
      <c r="K219" s="13" t="inlineStr">
        <is>
          <t>CAAR/Del/Exim/18/2024</t>
        </is>
      </c>
      <c r="L219" s="14" t="inlineStr">
        <is>
          <t>https://www.cbic.gov.in/content/pdf/CONTENTREPO/CAAR/caar-del-18-exim-28052024.pdf</t>
        </is>
      </c>
      <c r="M219" s="13" t="inlineStr">
        <is>
          <t>YES</t>
        </is>
      </c>
    </row>
    <row r="220">
      <c r="A220" s="13" t="inlineStr">
        <is>
          <t>Delhi Rulings</t>
        </is>
      </c>
      <c r="B220" s="13" t="inlineStr">
        <is>
          <t>22</t>
        </is>
      </c>
      <c r="C220" s="13" t="inlineStr">
        <is>
          <t>216</t>
        </is>
      </c>
      <c r="D220" s="13" t="inlineStr">
        <is>
          <t>M/s Elentec India Pvt Ltd.</t>
        </is>
      </c>
      <c r="E220" s="13" t="inlineStr">
        <is>
          <t>05.03.2024</t>
        </is>
      </c>
      <c r="F220" s="13" t="inlineStr">
        <is>
          <t>21.05.2024</t>
        </is>
      </c>
      <c r="G220" s="13" t="inlineStr">
        <is>
          <t>2024</t>
        </is>
      </c>
      <c r="H220" s="13" t="inlineStr">
        <is>
          <t>Classification and Notification of the subject goods [Parts to manufacture ASSY-Case front]</t>
        </is>
      </c>
      <c r="I220" s="13" t="inlineStr">
        <is>
          <t>Exemption</t>
        </is>
      </c>
      <c r="J220" s="13" t="inlineStr">
        <is>
          <t>explicit</t>
        </is>
      </c>
      <c r="K220" s="13" t="inlineStr">
        <is>
          <t>CAAR/Del/Elentec/17/2024</t>
        </is>
      </c>
      <c r="L220" s="14" t="inlineStr">
        <is>
          <t>https://www.cbic.gov.in/content/pdf/CONTENTREPO/CAAR/Elentec-India-Pvt-Ltd-22may2024.pdf</t>
        </is>
      </c>
      <c r="M220" s="13" t="inlineStr">
        <is>
          <t>YES</t>
        </is>
      </c>
    </row>
    <row r="221">
      <c r="A221" s="13" t="inlineStr">
        <is>
          <t>Delhi Rulings</t>
        </is>
      </c>
      <c r="B221" s="13" t="inlineStr">
        <is>
          <t>22</t>
        </is>
      </c>
      <c r="C221" s="13" t="inlineStr">
        <is>
          <t>217</t>
        </is>
      </c>
      <c r="D221" s="13" t="inlineStr">
        <is>
          <t>M/s Haritaki FZC</t>
        </is>
      </c>
      <c r="E221" s="13" t="inlineStr">
        <is>
          <t>23.02.2024</t>
        </is>
      </c>
      <c r="F221" s="13" t="inlineStr">
        <is>
          <t>16.05.2024</t>
        </is>
      </c>
      <c r="G221" s="13" t="inlineStr">
        <is>
          <t>2024</t>
        </is>
      </c>
      <c r="H221" s="13" t="inlineStr">
        <is>
          <t>Classification of the subject goods [Mixed Condiments and Mixed Seasonings]</t>
        </is>
      </c>
      <c r="I221" s="13" t="inlineStr">
        <is>
          <t>Classification</t>
        </is>
      </c>
      <c r="J221" s="13" t="inlineStr">
        <is>
          <t>explicit</t>
        </is>
      </c>
      <c r="K221" s="13" t="inlineStr">
        <is>
          <t>CAAR/Del/Haritaki/16/2024</t>
        </is>
      </c>
      <c r="L221" s="14" t="inlineStr">
        <is>
          <t>https://www.cbic.gov.in/content/pdf/CONTENTREPO/CAAR/car-del-16-hari-21082024.pdf</t>
        </is>
      </c>
      <c r="M221" s="13" t="inlineStr">
        <is>
          <t>YES</t>
        </is>
      </c>
    </row>
    <row r="222">
      <c r="A222" s="13" t="inlineStr">
        <is>
          <t>Delhi Rulings</t>
        </is>
      </c>
      <c r="B222" s="13" t="inlineStr">
        <is>
          <t>22</t>
        </is>
      </c>
      <c r="C222" s="13" t="inlineStr">
        <is>
          <t>218</t>
        </is>
      </c>
      <c r="D222" s="13" t="inlineStr">
        <is>
          <t>M/s RV International.</t>
        </is>
      </c>
      <c r="E222" s="13" t="inlineStr">
        <is>
          <t>06.03.2024</t>
        </is>
      </c>
      <c r="F222" s="13" t="inlineStr">
        <is>
          <t>09.05.2024</t>
        </is>
      </c>
      <c r="G222" s="13" t="inlineStr">
        <is>
          <t>2024</t>
        </is>
      </c>
      <c r="H222" s="13" t="inlineStr">
        <is>
          <t>Classification of the subject goods [Roasted Arena Nut (Whole), Roasted Areca Nut (Split) and Roaste</t>
        </is>
      </c>
      <c r="I222" s="13" t="inlineStr">
        <is>
          <t>Classification</t>
        </is>
      </c>
      <c r="J222" s="13" t="inlineStr">
        <is>
          <t>explicit</t>
        </is>
      </c>
      <c r="K222" s="13" t="inlineStr">
        <is>
          <t>CAAR/Del/RV Intl/15/2024</t>
        </is>
      </c>
      <c r="L222" s="14" t="inlineStr">
        <is>
          <t>https://www.cbic.gov.in/content/pdf/CONTENTREPO/CAAR/caar-del-15-rv-intl-14052024.pdf</t>
        </is>
      </c>
      <c r="M222" s="13" t="inlineStr">
        <is>
          <t>YES</t>
        </is>
      </c>
    </row>
    <row r="223">
      <c r="A223" s="13" t="inlineStr">
        <is>
          <t>Delhi Rulings</t>
        </is>
      </c>
      <c r="B223" s="13" t="inlineStr">
        <is>
          <t>22</t>
        </is>
      </c>
      <c r="C223" s="13" t="inlineStr">
        <is>
          <t>219</t>
        </is>
      </c>
      <c r="D223" s="13" t="inlineStr">
        <is>
          <t>M/s Vapa Overseas Pvt Ltd.</t>
        </is>
      </c>
      <c r="E223" s="13" t="inlineStr">
        <is>
          <t>06.03.2024</t>
        </is>
      </c>
      <c r="F223" s="13" t="inlineStr">
        <is>
          <t>09.05.2024</t>
        </is>
      </c>
      <c r="G223" s="13" t="inlineStr">
        <is>
          <t>2024</t>
        </is>
      </c>
      <c r="H223" s="13" t="inlineStr">
        <is>
          <t>Classification of the subject goods [Roasted Arena Nut (Whole), Roasted Areca Nut (Split) and Roaste</t>
        </is>
      </c>
      <c r="I223" s="13" t="inlineStr">
        <is>
          <t>Classification</t>
        </is>
      </c>
      <c r="J223" s="13" t="inlineStr">
        <is>
          <t>explicit</t>
        </is>
      </c>
      <c r="K223" s="13" t="inlineStr">
        <is>
          <t>CAAR/Del/Vapa/14/2024</t>
        </is>
      </c>
      <c r="L223" s="14" t="inlineStr">
        <is>
          <t>https://www.cbic.gov.in/content/pdf/CONTENTREPO/CAAR/caar-del-14-vapa-14052024.pdf</t>
        </is>
      </c>
      <c r="M223" s="13" t="inlineStr">
        <is>
          <t>YES</t>
        </is>
      </c>
    </row>
    <row r="224">
      <c r="A224" s="13" t="inlineStr">
        <is>
          <t>Delhi Rulings</t>
        </is>
      </c>
      <c r="B224" s="13" t="inlineStr">
        <is>
          <t>22</t>
        </is>
      </c>
      <c r="C224" s="13" t="inlineStr">
        <is>
          <t>220</t>
        </is>
      </c>
      <c r="D224" s="13" t="inlineStr">
        <is>
          <t>M/s Vaibhav Enterprises.</t>
        </is>
      </c>
      <c r="E224" s="13" t="inlineStr">
        <is>
          <t>18.03.2024</t>
        </is>
      </c>
      <c r="F224" s="13" t="inlineStr">
        <is>
          <t>06.05.2024</t>
        </is>
      </c>
      <c r="G224" s="13" t="inlineStr">
        <is>
          <t>2024</t>
        </is>
      </c>
      <c r="H224" s="13" t="inlineStr">
        <is>
          <t>Classification of the subject goods</t>
        </is>
      </c>
      <c r="I224" s="13" t="inlineStr">
        <is>
          <t>Classification</t>
        </is>
      </c>
      <c r="J224" s="13" t="inlineStr">
        <is>
          <t>explicit</t>
        </is>
      </c>
      <c r="K224" s="13" t="inlineStr">
        <is>
          <t>CAAR/Del/Vaibhav/13/2024</t>
        </is>
      </c>
      <c r="L224" s="14" t="inlineStr">
        <is>
          <t>https://www.cbic.gov.in/content/pdf/CONTENTREPO/CAAR/Vaibhav-Ent-Ruling.pdf</t>
        </is>
      </c>
      <c r="M224" s="13" t="inlineStr">
        <is>
          <t>YES</t>
        </is>
      </c>
    </row>
    <row r="225">
      <c r="A225" s="13" t="inlineStr">
        <is>
          <t>Delhi Rulings</t>
        </is>
      </c>
      <c r="B225" s="13" t="inlineStr">
        <is>
          <t>23</t>
        </is>
      </c>
      <c r="C225" s="13" t="inlineStr">
        <is>
          <t>221</t>
        </is>
      </c>
      <c r="D225" s="13" t="inlineStr">
        <is>
          <t>M/s Vivo Mobile India Pvt Ltd.</t>
        </is>
      </c>
      <c r="E225" s="13" t="inlineStr">
        <is>
          <t>26.12.2024</t>
        </is>
      </c>
      <c r="F225" s="13" t="inlineStr">
        <is>
          <t>26.04.2024</t>
        </is>
      </c>
      <c r="G225" s="13" t="inlineStr">
        <is>
          <t>2024</t>
        </is>
      </c>
      <c r="H225" s="13" t="inlineStr">
        <is>
          <t>Classification of the subject goods</t>
        </is>
      </c>
      <c r="I225" s="13" t="inlineStr">
        <is>
          <t>Classification</t>
        </is>
      </c>
      <c r="J225" s="13" t="inlineStr">
        <is>
          <t>explicit</t>
        </is>
      </c>
      <c r="K225" s="13" t="inlineStr">
        <is>
          <t>CAAR/Del/Vivo/12/2024</t>
        </is>
      </c>
      <c r="L225" s="14" t="inlineStr">
        <is>
          <t>https://www.cbic.gov.in/content/pdf/CONTENTREPO/CAAR/Ms-Vivo-Mobile-India-Pvt-Ltd-updated-03052024.pdf</t>
        </is>
      </c>
      <c r="M225" s="13" t="inlineStr">
        <is>
          <t>YES</t>
        </is>
      </c>
    </row>
    <row r="226">
      <c r="A226" s="13" t="inlineStr">
        <is>
          <t>Delhi Rulings</t>
        </is>
      </c>
      <c r="B226" s="13" t="inlineStr">
        <is>
          <t>23</t>
        </is>
      </c>
      <c r="C226" s="13" t="inlineStr">
        <is>
          <t>222</t>
        </is>
      </c>
      <c r="D226" s="13" t="inlineStr">
        <is>
          <t>M/s remarkable AS (06/2024)</t>
        </is>
      </c>
      <c r="E226" s="13" t="inlineStr">
        <is>
          <t>30.01.2024</t>
        </is>
      </c>
      <c r="F226" s="13" t="inlineStr">
        <is>
          <t>25.04.2024</t>
        </is>
      </c>
      <c r="G226" s="13" t="inlineStr">
        <is>
          <t>2024</t>
        </is>
      </c>
      <c r="H226" s="13" t="inlineStr">
        <is>
          <t>Classification of remarkable Marker Plus RM212</t>
        </is>
      </c>
      <c r="I226" s="13" t="inlineStr">
        <is>
          <t>Classification</t>
        </is>
      </c>
      <c r="J226" s="13" t="inlineStr">
        <is>
          <t>explicit</t>
        </is>
      </c>
      <c r="K226" s="13" t="inlineStr">
        <is>
          <t>CAAR/Del/remarkable/11/2024</t>
        </is>
      </c>
      <c r="L226" s="13" t="inlineStr"/>
      <c r="M226" s="13" t="inlineStr">
        <is>
          <t>NO</t>
        </is>
      </c>
    </row>
    <row r="227">
      <c r="A227" s="13" t="inlineStr">
        <is>
          <t>Delhi Rulings</t>
        </is>
      </c>
      <c r="B227" s="13" t="inlineStr">
        <is>
          <t>23</t>
        </is>
      </c>
      <c r="C227" s="13" t="inlineStr">
        <is>
          <t>223</t>
        </is>
      </c>
      <c r="D227" s="13" t="inlineStr">
        <is>
          <t>M/s remarkable AS (05/2024)</t>
        </is>
      </c>
      <c r="E227" s="13" t="inlineStr">
        <is>
          <t>30.01.2024</t>
        </is>
      </c>
      <c r="F227" s="13" t="inlineStr">
        <is>
          <t>25.04.2024</t>
        </is>
      </c>
      <c r="G227" s="13" t="inlineStr">
        <is>
          <t>2024</t>
        </is>
      </c>
      <c r="H227" s="13" t="inlineStr">
        <is>
          <t>Classification of remarkable Paper Tablet RM114</t>
        </is>
      </c>
      <c r="I227" s="13" t="inlineStr">
        <is>
          <t>Classification</t>
        </is>
      </c>
      <c r="J227" s="13" t="inlineStr">
        <is>
          <t>explicit</t>
        </is>
      </c>
      <c r="K227" s="13" t="inlineStr">
        <is>
          <t>CAAR/Del/remarkable/10/2024</t>
        </is>
      </c>
      <c r="L227" s="13" t="inlineStr"/>
      <c r="M227" s="13" t="inlineStr">
        <is>
          <t>NO</t>
        </is>
      </c>
    </row>
    <row r="228">
      <c r="A228" s="13" t="inlineStr">
        <is>
          <t>Delhi Rulings</t>
        </is>
      </c>
      <c r="B228" s="13" t="inlineStr">
        <is>
          <t>23</t>
        </is>
      </c>
      <c r="C228" s="13" t="inlineStr">
        <is>
          <t>224</t>
        </is>
      </c>
      <c r="D228" s="13" t="inlineStr">
        <is>
          <t>M/s remarkable AS (04/2024)</t>
        </is>
      </c>
      <c r="E228" s="13" t="inlineStr">
        <is>
          <t>30.01.2024</t>
        </is>
      </c>
      <c r="F228" s="13" t="inlineStr">
        <is>
          <t>25.04.2024</t>
        </is>
      </c>
      <c r="G228" s="13" t="inlineStr">
        <is>
          <t>2024</t>
        </is>
      </c>
      <c r="H228" s="13" t="inlineStr">
        <is>
          <t>Classification of remarkable Book Folio RM314</t>
        </is>
      </c>
      <c r="I228" s="13" t="inlineStr">
        <is>
          <t>Classification</t>
        </is>
      </c>
      <c r="J228" s="13" t="inlineStr">
        <is>
          <t>explicit</t>
        </is>
      </c>
      <c r="K228" s="13" t="inlineStr">
        <is>
          <t>CAAR/Del/remarkable/09/2024</t>
        </is>
      </c>
      <c r="L228" s="13" t="inlineStr"/>
      <c r="M228" s="13" t="inlineStr">
        <is>
          <t>NO</t>
        </is>
      </c>
    </row>
    <row r="229">
      <c r="A229" s="13" t="inlineStr">
        <is>
          <t>Delhi Rulings</t>
        </is>
      </c>
      <c r="B229" s="13" t="inlineStr">
        <is>
          <t>23</t>
        </is>
      </c>
      <c r="C229" s="13" t="inlineStr">
        <is>
          <t>225</t>
        </is>
      </c>
      <c r="D229" s="13" t="inlineStr">
        <is>
          <t>M/s remarkable AS (03/2024)</t>
        </is>
      </c>
      <c r="E229" s="13" t="inlineStr">
        <is>
          <t>30.01.2024</t>
        </is>
      </c>
      <c r="F229" s="13" t="inlineStr">
        <is>
          <t>25.04.2024</t>
        </is>
      </c>
      <c r="G229" s="13" t="inlineStr">
        <is>
          <t>2024</t>
        </is>
      </c>
      <c r="H229" s="13" t="inlineStr">
        <is>
          <t>Classification of remarkable Paper Tablet RM113</t>
        </is>
      </c>
      <c r="I229" s="13" t="inlineStr">
        <is>
          <t>Classification</t>
        </is>
      </c>
      <c r="J229" s="13" t="inlineStr">
        <is>
          <t>explicit</t>
        </is>
      </c>
      <c r="K229" s="13" t="inlineStr">
        <is>
          <t>CAAR/Del/remarkable/08/2024</t>
        </is>
      </c>
      <c r="L229" s="13" t="inlineStr"/>
      <c r="M229" s="13" t="inlineStr">
        <is>
          <t>NO</t>
        </is>
      </c>
    </row>
    <row r="230">
      <c r="A230" s="13" t="inlineStr">
        <is>
          <t>Delhi Rulings</t>
        </is>
      </c>
      <c r="B230" s="13" t="inlineStr">
        <is>
          <t>23</t>
        </is>
      </c>
      <c r="C230" s="13" t="inlineStr">
        <is>
          <t>226</t>
        </is>
      </c>
      <c r="D230" s="13" t="inlineStr">
        <is>
          <t>M/s Shriprop Aerospace Pvt Ltd</t>
        </is>
      </c>
      <c r="E230" s="13" t="inlineStr">
        <is>
          <t>18.01.2024</t>
        </is>
      </c>
      <c r="F230" s="13" t="inlineStr">
        <is>
          <t>26.03.2024</t>
        </is>
      </c>
      <c r="G230" s="13" t="inlineStr">
        <is>
          <t>2024</t>
        </is>
      </c>
      <c r="H230" s="13" t="inlineStr">
        <is>
          <t>Sl. No. 545 of notification no. 50/2017 Custom dated 30.06.2017</t>
        </is>
      </c>
      <c r="I230" s="13" t="inlineStr">
        <is>
          <t>Exemption</t>
        </is>
      </c>
      <c r="J230" s="13" t="inlineStr">
        <is>
          <t>explicit</t>
        </is>
      </c>
      <c r="K230" s="13" t="inlineStr">
        <is>
          <t>CAAR/Del/Shriprop Aerospace/07/2024</t>
        </is>
      </c>
      <c r="L230" s="14" t="inlineStr">
        <is>
          <t>https://www.cbic.gov.in/content/pdf/CONTENTREPO/CAAR/shriprop-ruling-28mar2024.pdf</t>
        </is>
      </c>
      <c r="M230" s="13" t="inlineStr">
        <is>
          <t>YES</t>
        </is>
      </c>
    </row>
    <row r="231">
      <c r="A231" s="13" t="inlineStr">
        <is>
          <t>Delhi Rulings</t>
        </is>
      </c>
      <c r="B231" s="13" t="inlineStr">
        <is>
          <t>23</t>
        </is>
      </c>
      <c r="C231" s="13" t="inlineStr">
        <is>
          <t>227</t>
        </is>
      </c>
      <c r="D231" s="13" t="inlineStr">
        <is>
          <t>M/s A-One Traders</t>
        </is>
      </c>
      <c r="E231" s="13" t="inlineStr">
        <is>
          <t>07.12.2023</t>
        </is>
      </c>
      <c r="F231" s="13" t="inlineStr">
        <is>
          <t>04.03.2024</t>
        </is>
      </c>
      <c r="G231" s="13" t="inlineStr">
        <is>
          <t>2024</t>
        </is>
      </c>
      <c r="H231" s="13" t="inlineStr">
        <is>
          <t>Classification of “Roasted Areca Nuts (Whole), Roasted Areca Nuts (Split) &amp; Roasted Areca Nuts (Cut)</t>
        </is>
      </c>
      <c r="I231" s="13" t="inlineStr">
        <is>
          <t>Classification</t>
        </is>
      </c>
      <c r="J231" s="13" t="inlineStr">
        <is>
          <t>explicit</t>
        </is>
      </c>
      <c r="K231" s="13" t="inlineStr">
        <is>
          <t>CAAR/Del/A-One/06/2024</t>
        </is>
      </c>
      <c r="L231" s="14" t="inlineStr">
        <is>
          <t>https://www.cbic.gov.in/content/pdf/CONTENTREPO/CAAR/caar-del-one-trade-07mar2024.pdf</t>
        </is>
      </c>
      <c r="M231" s="13" t="inlineStr">
        <is>
          <t>YES</t>
        </is>
      </c>
    </row>
    <row r="232">
      <c r="A232" s="13" t="inlineStr">
        <is>
          <t>Delhi Rulings</t>
        </is>
      </c>
      <c r="B232" s="13" t="inlineStr">
        <is>
          <t>23</t>
        </is>
      </c>
      <c r="C232" s="13" t="inlineStr">
        <is>
          <t>228</t>
        </is>
      </c>
      <c r="D232" s="13" t="inlineStr">
        <is>
          <t>M/s Perfect Trading Co.</t>
        </is>
      </c>
      <c r="E232" s="13" t="inlineStr">
        <is>
          <t>04.01.2024</t>
        </is>
      </c>
      <c r="F232" s="13" t="inlineStr">
        <is>
          <t>28.02.2024</t>
        </is>
      </c>
      <c r="G232" s="13" t="inlineStr">
        <is>
          <t>2024</t>
        </is>
      </c>
      <c r="H232" s="13" t="inlineStr">
        <is>
          <t>Classification of “Roasted Areca Nuts (Whole), Roasted Areca Nuts (Split) &amp; Roasted Areca Nuts (Cut)</t>
        </is>
      </c>
      <c r="I232" s="13" t="inlineStr">
        <is>
          <t>Classification</t>
        </is>
      </c>
      <c r="J232" s="13" t="inlineStr">
        <is>
          <t>explicit</t>
        </is>
      </c>
      <c r="K232" s="13" t="inlineStr">
        <is>
          <t>CAAR/Del/Perfect Trading/05/2024</t>
        </is>
      </c>
      <c r="L232" s="14" t="inlineStr">
        <is>
          <t>https://www.cbic.gov.in/content/pdf/CONTENTREPO/CAAR/perfect-Trading-Rulings.pdf</t>
        </is>
      </c>
      <c r="M232" s="13" t="inlineStr">
        <is>
          <t>YES</t>
        </is>
      </c>
    </row>
    <row r="233">
      <c r="A233" s="13" t="inlineStr">
        <is>
          <t>Delhi Rulings</t>
        </is>
      </c>
      <c r="B233" s="13" t="inlineStr">
        <is>
          <t>23</t>
        </is>
      </c>
      <c r="C233" s="13" t="inlineStr">
        <is>
          <t>229</t>
        </is>
      </c>
      <c r="D233" s="13" t="inlineStr">
        <is>
          <t>M/s Narang Machinery Store.</t>
        </is>
      </c>
      <c r="E233" s="13" t="inlineStr">
        <is>
          <t>30.11.2023</t>
        </is>
      </c>
      <c r="F233" s="13" t="inlineStr">
        <is>
          <t>27.02.2024</t>
        </is>
      </c>
      <c r="G233" s="13" t="inlineStr">
        <is>
          <t>2024</t>
        </is>
      </c>
      <c r="H233" s="13" t="inlineStr">
        <is>
          <t>Classification of Whey protein</t>
        </is>
      </c>
      <c r="I233" s="13" t="inlineStr">
        <is>
          <t>Classification</t>
        </is>
      </c>
      <c r="J233" s="13" t="inlineStr">
        <is>
          <t>explicit</t>
        </is>
      </c>
      <c r="K233" s="13" t="inlineStr">
        <is>
          <t>CAAR/Del/Narang/04/2024</t>
        </is>
      </c>
      <c r="L233" s="14" t="inlineStr">
        <is>
          <t>https://www.cbic.gov.in/content/pdf/CONTENTREPO/CAAR/caar-del-narang-28feb2024.pdf</t>
        </is>
      </c>
      <c r="M233" s="13" t="inlineStr">
        <is>
          <t>YES</t>
        </is>
      </c>
    </row>
    <row r="234">
      <c r="A234" s="13" t="inlineStr">
        <is>
          <t>Delhi Rulings</t>
        </is>
      </c>
      <c r="B234" s="13" t="inlineStr">
        <is>
          <t>23</t>
        </is>
      </c>
      <c r="C234" s="13" t="inlineStr">
        <is>
          <t>230</t>
        </is>
      </c>
      <c r="D234" s="13" t="inlineStr">
        <is>
          <t>M/s Vivo Mobile India Pvt. Ltd.</t>
        </is>
      </c>
      <c r="E234" s="13" t="inlineStr">
        <is>
          <t>03.11.2023</t>
        </is>
      </c>
      <c r="F234" s="13" t="inlineStr">
        <is>
          <t>01.02.2024</t>
        </is>
      </c>
      <c r="G234" s="13" t="inlineStr">
        <is>
          <t>2024</t>
        </is>
      </c>
      <c r="H234" s="13" t="inlineStr">
        <is>
          <t>Classification of Main MIC Dust Protective Net</t>
        </is>
      </c>
      <c r="I234" s="13" t="inlineStr">
        <is>
          <t>Classification</t>
        </is>
      </c>
      <c r="J234" s="13" t="inlineStr">
        <is>
          <t>explicit</t>
        </is>
      </c>
      <c r="K234" s="13" t="inlineStr">
        <is>
          <t>CAAR/Del/Vivo Mobile India/03/2024</t>
        </is>
      </c>
      <c r="L234" s="14" t="inlineStr">
        <is>
          <t>https://www.cbic.gov.in/content/pdf/CONTENTREPO/CAAR/vivo-caar-mumbai-ruling-01022024.pdf</t>
        </is>
      </c>
      <c r="M234" s="13" t="inlineStr">
        <is>
          <t>YES</t>
        </is>
      </c>
    </row>
    <row r="235">
      <c r="A235" s="13" t="inlineStr">
        <is>
          <t>Delhi Rulings</t>
        </is>
      </c>
      <c r="B235" s="13" t="inlineStr">
        <is>
          <t>24</t>
        </is>
      </c>
      <c r="C235" s="13" t="inlineStr">
        <is>
          <t>231</t>
        </is>
      </c>
      <c r="D235" s="13" t="inlineStr">
        <is>
          <t>M/s Perfect Trading Co. (61/2023)</t>
        </is>
      </c>
      <c r="E235" s="13" t="inlineStr">
        <is>
          <t>28.11.2023</t>
        </is>
      </c>
      <c r="F235" s="13" t="inlineStr">
        <is>
          <t>05.01.2024</t>
        </is>
      </c>
      <c r="G235" s="13" t="inlineStr">
        <is>
          <t>2024</t>
        </is>
      </c>
      <c r="H235" s="13" t="inlineStr">
        <is>
          <t>Classification of the Roasted Areca Nut/Betel Nut</t>
        </is>
      </c>
      <c r="I235" s="13" t="inlineStr">
        <is>
          <t>Classification</t>
        </is>
      </c>
      <c r="J235" s="13" t="inlineStr">
        <is>
          <t>explicit</t>
        </is>
      </c>
      <c r="K235" s="13" t="inlineStr">
        <is>
          <t>CAAR/Del/Perfect/01/2024</t>
        </is>
      </c>
      <c r="L235" s="14" t="inlineStr">
        <is>
          <t>https://www.cbic.gov.in/content/pdf/CONTENTREPO/CAAR/caar-del-01-09012024.pdf</t>
        </is>
      </c>
      <c r="M235" s="13" t="inlineStr">
        <is>
          <t>YES</t>
        </is>
      </c>
    </row>
    <row r="236">
      <c r="A236" s="13" t="inlineStr">
        <is>
          <t>Delhi Rulings</t>
        </is>
      </c>
      <c r="B236" s="13" t="inlineStr">
        <is>
          <t>24</t>
        </is>
      </c>
      <c r="C236" s="13" t="inlineStr">
        <is>
          <t>232</t>
        </is>
      </c>
      <c r="D236" s="13" t="inlineStr">
        <is>
          <t>M/s Perfect Trading Co. (62/2023)</t>
        </is>
      </c>
      <c r="E236" s="13" t="inlineStr">
        <is>
          <t>28.11.2023</t>
        </is>
      </c>
      <c r="F236" s="13" t="inlineStr">
        <is>
          <t>05.01.2024</t>
        </is>
      </c>
      <c r="G236" s="13" t="inlineStr">
        <is>
          <t>2024</t>
        </is>
      </c>
      <c r="H236" s="13" t="inlineStr">
        <is>
          <t>Classification of the Roasted Areca Nut/Betel Nut</t>
        </is>
      </c>
      <c r="I236" s="13" t="inlineStr">
        <is>
          <t>Classification</t>
        </is>
      </c>
      <c r="J236" s="13" t="inlineStr">
        <is>
          <t>explicit</t>
        </is>
      </c>
      <c r="K236" s="13" t="inlineStr">
        <is>
          <t>CAAR/Del/Perfect/02/2024</t>
        </is>
      </c>
      <c r="L236" s="14" t="inlineStr">
        <is>
          <t>https://www.cbic.gov.in/content/pdf/CONTENTREPO/CAAR/caar-del-02-09012024.pdf</t>
        </is>
      </c>
      <c r="M236" s="13" t="inlineStr">
        <is>
          <t>YES</t>
        </is>
      </c>
    </row>
    <row r="237">
      <c r="A237" s="13" t="inlineStr">
        <is>
          <t>Delhi Rulings</t>
        </is>
      </c>
      <c r="B237" s="13" t="inlineStr">
        <is>
          <t>24</t>
        </is>
      </c>
      <c r="C237" s="13" t="inlineStr">
        <is>
          <t>233</t>
        </is>
      </c>
      <c r="D237" s="13" t="inlineStr">
        <is>
          <t>M/s Boston Scientific India Pvt. Ltd.</t>
        </is>
      </c>
      <c r="E237" s="13" t="inlineStr">
        <is>
          <t>26.09.2023</t>
        </is>
      </c>
      <c r="F237" s="13" t="inlineStr">
        <is>
          <t>22.12.2023</t>
        </is>
      </c>
      <c r="G237" s="13" t="inlineStr">
        <is>
          <t>2023</t>
        </is>
      </c>
      <c r="H237" s="13" t="inlineStr">
        <is>
          <t>Healthcare/Medical Equipment</t>
        </is>
      </c>
      <c r="I237" s="13" t="inlineStr">
        <is>
          <t>Classification</t>
        </is>
      </c>
      <c r="J237" s="13" t="inlineStr">
        <is>
          <t>inferred</t>
        </is>
      </c>
      <c r="K237" s="13" t="inlineStr">
        <is>
          <t>CAAR/Del/Boston/36/2023</t>
        </is>
      </c>
      <c r="L237" s="14" t="inlineStr">
        <is>
          <t>https://www.cbic.gov.in/content/pdf/CONTENTREPO/CAAR/car-delhi-boston-36.pdf</t>
        </is>
      </c>
      <c r="M237" s="13" t="inlineStr">
        <is>
          <t>YES</t>
        </is>
      </c>
    </row>
    <row r="238">
      <c r="A238" s="13" t="inlineStr">
        <is>
          <t>Delhi Rulings</t>
        </is>
      </c>
      <c r="B238" s="13" t="inlineStr">
        <is>
          <t>24</t>
        </is>
      </c>
      <c r="C238" s="13" t="inlineStr">
        <is>
          <t>234</t>
        </is>
      </c>
      <c r="D238" s="13" t="inlineStr">
        <is>
          <t>M/s Solae Company India Pvt. Ltd.</t>
        </is>
      </c>
      <c r="E238" s="13" t="inlineStr">
        <is>
          <t>02.08.2023</t>
        </is>
      </c>
      <c r="F238" s="13" t="inlineStr">
        <is>
          <t>13.12.2023</t>
        </is>
      </c>
      <c r="G238" s="13" t="inlineStr">
        <is>
          <t>2023</t>
        </is>
      </c>
      <c r="H238" s="13" t="inlineStr">
        <is>
          <t>Supro Nuggets 570 G IP classification</t>
        </is>
      </c>
      <c r="I238" s="13" t="inlineStr">
        <is>
          <t>Classification</t>
        </is>
      </c>
      <c r="J238" s="13" t="inlineStr">
        <is>
          <t>explicit</t>
        </is>
      </c>
      <c r="K238" s="13" t="inlineStr">
        <is>
          <t>CAAR/Del/Solae/35/2023</t>
        </is>
      </c>
      <c r="L238" s="14" t="inlineStr">
        <is>
          <t>https://www.cbic.gov.in/content/pdf/CONTENTREPO/CAAR/caar-del-solae-35-15dec2023.pdf</t>
        </is>
      </c>
      <c r="M238" s="13" t="inlineStr">
        <is>
          <t>YES</t>
        </is>
      </c>
    </row>
    <row r="239">
      <c r="A239" s="13" t="inlineStr">
        <is>
          <t>Delhi Rulings</t>
        </is>
      </c>
      <c r="B239" s="13" t="inlineStr">
        <is>
          <t>24</t>
        </is>
      </c>
      <c r="C239" s="13" t="inlineStr">
        <is>
          <t>235</t>
        </is>
      </c>
      <c r="D239" s="13" t="inlineStr">
        <is>
          <t>M/s Vivo Mobile India Pvt Ltd (50/2023)</t>
        </is>
      </c>
      <c r="E239" s="13" t="inlineStr">
        <is>
          <t>22.09.2023</t>
        </is>
      </c>
      <c r="F239" s="13" t="inlineStr">
        <is>
          <t>13.12.2023</t>
        </is>
      </c>
      <c r="G239" s="13" t="inlineStr">
        <is>
          <t>2023</t>
        </is>
      </c>
      <c r="H239" s="13" t="inlineStr">
        <is>
          <t>Classification of MEMS Microphone</t>
        </is>
      </c>
      <c r="I239" s="13" t="inlineStr">
        <is>
          <t>Classification</t>
        </is>
      </c>
      <c r="J239" s="13" t="inlineStr">
        <is>
          <t>explicit</t>
        </is>
      </c>
      <c r="K239" s="13" t="inlineStr">
        <is>
          <t>CAAR/Del/Vivo/34//2023</t>
        </is>
      </c>
      <c r="L239" s="14" t="inlineStr">
        <is>
          <t>https://www.cbic.gov.in/content/pdf/CONTENTREPO/CAAR/caar-del-vivo-34-13dec2023.pdf</t>
        </is>
      </c>
      <c r="M239" s="13" t="inlineStr">
        <is>
          <t>YES</t>
        </is>
      </c>
    </row>
    <row r="240">
      <c r="A240" s="13" t="inlineStr">
        <is>
          <t>Delhi Rulings</t>
        </is>
      </c>
      <c r="B240" s="13" t="inlineStr">
        <is>
          <t>24</t>
        </is>
      </c>
      <c r="C240" s="13" t="inlineStr">
        <is>
          <t>236</t>
        </is>
      </c>
      <c r="D240" s="13" t="inlineStr">
        <is>
          <t>M/s Amazon Wholesale India Pvt. Ltd</t>
        </is>
      </c>
      <c r="E240" s="13" t="inlineStr">
        <is>
          <t>15.09.2023</t>
        </is>
      </c>
      <c r="F240" s="13" t="inlineStr">
        <is>
          <t>08.12.2023</t>
        </is>
      </c>
      <c r="G240" s="13" t="inlineStr">
        <is>
          <t>2023</t>
        </is>
      </c>
      <c r="H240" s="13" t="inlineStr">
        <is>
          <t>Classification of Media Streaming Device</t>
        </is>
      </c>
      <c r="I240" s="13" t="inlineStr">
        <is>
          <t>Classification</t>
        </is>
      </c>
      <c r="J240" s="13" t="inlineStr">
        <is>
          <t>explicit</t>
        </is>
      </c>
      <c r="K240" s="13" t="inlineStr">
        <is>
          <t>CAAR/Del/Amazon/33/2023</t>
        </is>
      </c>
      <c r="L240" s="14" t="inlineStr">
        <is>
          <t>https://www.cbic.gov.in/content/pdf/CONTENTREPO/CAAR/caar-del-vivo-33-23aug2024.pdf</t>
        </is>
      </c>
      <c r="M240" s="13" t="inlineStr">
        <is>
          <t>YES</t>
        </is>
      </c>
    </row>
    <row r="241">
      <c r="A241" s="13" t="inlineStr">
        <is>
          <t>Delhi Rulings</t>
        </is>
      </c>
      <c r="B241" s="13" t="inlineStr">
        <is>
          <t>24</t>
        </is>
      </c>
      <c r="C241" s="13" t="inlineStr">
        <is>
          <t>237</t>
        </is>
      </c>
      <c r="D241" s="13" t="inlineStr">
        <is>
          <t>M/s Blue star Limited</t>
        </is>
      </c>
      <c r="E241" s="13" t="inlineStr">
        <is>
          <t>13.07.2023</t>
        </is>
      </c>
      <c r="F241" s="13" t="inlineStr">
        <is>
          <t>05.12.2023</t>
        </is>
      </c>
      <c r="G241" s="13" t="inlineStr">
        <is>
          <t>2023</t>
        </is>
      </c>
      <c r="H241" s="13" t="inlineStr">
        <is>
          <t>ODU Controller PCB classification</t>
        </is>
      </c>
      <c r="I241" s="13" t="inlineStr">
        <is>
          <t>Classification</t>
        </is>
      </c>
      <c r="J241" s="13" t="inlineStr">
        <is>
          <t>explicit</t>
        </is>
      </c>
      <c r="K241" s="13" t="inlineStr">
        <is>
          <t>CAAR/Del/Bluestar/32/2023</t>
        </is>
      </c>
      <c r="L241" s="14" t="inlineStr">
        <is>
          <t>https://www.cbic.gov.in/content/pdf/CONTENTREPO/CAAR/caar-del-bluestar-32-06122023.pdf</t>
        </is>
      </c>
      <c r="M241" s="13" t="inlineStr">
        <is>
          <t>YES</t>
        </is>
      </c>
    </row>
    <row r="242">
      <c r="A242" s="13" t="inlineStr">
        <is>
          <t>Delhi Rulings</t>
        </is>
      </c>
      <c r="B242" s="13" t="inlineStr">
        <is>
          <t>24</t>
        </is>
      </c>
      <c r="C242" s="13" t="inlineStr">
        <is>
          <t>238</t>
        </is>
      </c>
      <c r="D242" s="13" t="inlineStr">
        <is>
          <t>M/s Supertron Electronics Pvt Ltd</t>
        </is>
      </c>
      <c r="E242" s="13" t="inlineStr">
        <is>
          <t>03.10.2023</t>
        </is>
      </c>
      <c r="F242" s="13" t="inlineStr">
        <is>
          <t>04.12.2023</t>
        </is>
      </c>
      <c r="G242" s="13" t="inlineStr">
        <is>
          <t>2023</t>
        </is>
      </c>
      <c r="H242" s="13" t="inlineStr">
        <is>
          <t>Classification of Interactive Flat Panels</t>
        </is>
      </c>
      <c r="I242" s="13" t="inlineStr">
        <is>
          <t>Classification</t>
        </is>
      </c>
      <c r="J242" s="13" t="inlineStr">
        <is>
          <t>explicit</t>
        </is>
      </c>
      <c r="K242" s="13" t="inlineStr">
        <is>
          <t>CAAR/Del/Supertron/31/2023</t>
        </is>
      </c>
      <c r="L242" s="14" t="inlineStr">
        <is>
          <t>https://www.cbic.gov.in/content/pdf/CONTENTREPO/CAAR/caar-del-superton-31-04122023.pdf</t>
        </is>
      </c>
      <c r="M242" s="13" t="inlineStr">
        <is>
          <t>YES</t>
        </is>
      </c>
    </row>
    <row r="243">
      <c r="A243" s="13" t="inlineStr">
        <is>
          <t>Delhi Rulings</t>
        </is>
      </c>
      <c r="B243" s="13" t="inlineStr">
        <is>
          <t>24</t>
        </is>
      </c>
      <c r="C243" s="13" t="inlineStr">
        <is>
          <t>239</t>
        </is>
      </c>
      <c r="D243" s="13" t="inlineStr">
        <is>
          <t>M/s Yubico AB</t>
        </is>
      </c>
      <c r="E243" s="13" t="inlineStr">
        <is>
          <t>14.03.2023</t>
        </is>
      </c>
      <c r="F243" s="13" t="inlineStr">
        <is>
          <t>30.11.2023</t>
        </is>
      </c>
      <c r="G243" s="13" t="inlineStr">
        <is>
          <t>2023</t>
        </is>
      </c>
      <c r="H243" s="13" t="inlineStr">
        <is>
          <t>“YubiKey”, the product classification</t>
        </is>
      </c>
      <c r="I243" s="13" t="inlineStr">
        <is>
          <t>Classification</t>
        </is>
      </c>
      <c r="J243" s="13" t="inlineStr">
        <is>
          <t>explicit</t>
        </is>
      </c>
      <c r="K243" s="13" t="inlineStr">
        <is>
          <t>CAAR/Del/Yubico/30/2023</t>
        </is>
      </c>
      <c r="L243" s="14" t="inlineStr">
        <is>
          <t>https://www.cbic.gov.in/content/pdf/CONTENTREPO/CAAR/yubico-ruling-01122023.pdf</t>
        </is>
      </c>
      <c r="M243" s="13" t="inlineStr">
        <is>
          <t>YES</t>
        </is>
      </c>
    </row>
    <row r="244">
      <c r="A244" s="13" t="inlineStr">
        <is>
          <t>Delhi Rulings</t>
        </is>
      </c>
      <c r="B244" s="13" t="inlineStr">
        <is>
          <t>24</t>
        </is>
      </c>
      <c r="C244" s="13" t="inlineStr">
        <is>
          <t>240</t>
        </is>
      </c>
      <c r="D244" s="13" t="inlineStr">
        <is>
          <t>M/s United Spirits Ltd</t>
        </is>
      </c>
      <c r="E244" s="13" t="inlineStr">
        <is>
          <t>02.05.2023</t>
        </is>
      </c>
      <c r="F244" s="13" t="inlineStr">
        <is>
          <t>24.11.2023</t>
        </is>
      </c>
      <c r="G244" s="13" t="inlineStr">
        <is>
          <t>2023</t>
        </is>
      </c>
      <c r="H244" s="13" t="inlineStr">
        <is>
          <t>Ruling inter-alia on inclusion of charges as specified in Rule 10(2) of CVR, 2007 in the assessable</t>
        </is>
      </c>
      <c r="I244" s="13" t="inlineStr">
        <is>
          <t>Classification</t>
        </is>
      </c>
      <c r="J244" s="13" t="inlineStr">
        <is>
          <t>inferred</t>
        </is>
      </c>
      <c r="K244" s="13" t="inlineStr">
        <is>
          <t>CAAR/Del/United Spirits/29/2023</t>
        </is>
      </c>
      <c r="L244" s="14" t="inlineStr">
        <is>
          <t>https://www.cbic.gov.in/content/pdf/CONTENTREPO/CAAR/united-spirit-ruling-28112023.pdf</t>
        </is>
      </c>
      <c r="M244" s="13" t="inlineStr">
        <is>
          <t>YES</t>
        </is>
      </c>
    </row>
    <row r="245">
      <c r="A245" s="13" t="inlineStr">
        <is>
          <t>Delhi Rulings</t>
        </is>
      </c>
      <c r="B245" s="13" t="inlineStr">
        <is>
          <t>25</t>
        </is>
      </c>
      <c r="C245" s="13" t="inlineStr">
        <is>
          <t>241</t>
        </is>
      </c>
      <c r="D245" s="13" t="inlineStr">
        <is>
          <t>M/s Shree Durga Traders (43)</t>
        </is>
      </c>
      <c r="E245" s="13" t="inlineStr">
        <is>
          <t>09.08.2023</t>
        </is>
      </c>
      <c r="F245" s="13" t="inlineStr">
        <is>
          <t>17.11.2023</t>
        </is>
      </c>
      <c r="G245" s="13" t="inlineStr">
        <is>
          <t>2023</t>
        </is>
      </c>
      <c r="H245" s="13" t="inlineStr">
        <is>
          <t>Classification of the Roasted Areca Nut/Betel Nut</t>
        </is>
      </c>
      <c r="I245" s="13" t="inlineStr">
        <is>
          <t>Classification</t>
        </is>
      </c>
      <c r="J245" s="13" t="inlineStr">
        <is>
          <t>explicit</t>
        </is>
      </c>
      <c r="K245" s="13" t="inlineStr">
        <is>
          <t>CAAR/Del/Shree Durga/28/2023</t>
        </is>
      </c>
      <c r="L245" s="14" t="inlineStr">
        <is>
          <t>https://www.cbic.gov.in/content/pdf/CONTENTREPO/CAAR/Shree-durga-43-del-28-ruling-21nov2023.pdf</t>
        </is>
      </c>
      <c r="M245" s="13" t="inlineStr">
        <is>
          <t>YES</t>
        </is>
      </c>
    </row>
    <row r="246">
      <c r="A246" s="13" t="inlineStr">
        <is>
          <t>Delhi Rulings</t>
        </is>
      </c>
      <c r="B246" s="13" t="inlineStr">
        <is>
          <t>25</t>
        </is>
      </c>
      <c r="C246" s="13" t="inlineStr">
        <is>
          <t>242</t>
        </is>
      </c>
      <c r="D246" s="13" t="inlineStr">
        <is>
          <t>M/s Shree Durga Traders (42)</t>
        </is>
      </c>
      <c r="E246" s="13" t="inlineStr">
        <is>
          <t>09.08.2023</t>
        </is>
      </c>
      <c r="F246" s="13" t="inlineStr">
        <is>
          <t>17.11.2023</t>
        </is>
      </c>
      <c r="G246" s="13" t="inlineStr">
        <is>
          <t>2023</t>
        </is>
      </c>
      <c r="H246" s="13" t="inlineStr">
        <is>
          <t>Classification of the Roasted Areca Nut/Betel Nut</t>
        </is>
      </c>
      <c r="I246" s="13" t="inlineStr">
        <is>
          <t>Classification</t>
        </is>
      </c>
      <c r="J246" s="13" t="inlineStr">
        <is>
          <t>explicit</t>
        </is>
      </c>
      <c r="K246" s="13" t="inlineStr">
        <is>
          <t>CAAR/Del/Shree Durga/27/2023</t>
        </is>
      </c>
      <c r="L246" s="14" t="inlineStr">
        <is>
          <t>https://www.cbic.gov.in/content/pdf/CONTENTREPO/CAAR/Shree-durga-42-del-27-ruling-21nov2023.pdf</t>
        </is>
      </c>
      <c r="M246" s="13" t="inlineStr">
        <is>
          <t>YES</t>
        </is>
      </c>
    </row>
    <row r="247">
      <c r="A247" s="13" t="inlineStr">
        <is>
          <t>Delhi Rulings</t>
        </is>
      </c>
      <c r="B247" s="13" t="inlineStr">
        <is>
          <t>25</t>
        </is>
      </c>
      <c r="C247" s="13" t="inlineStr">
        <is>
          <t>243</t>
        </is>
      </c>
      <c r="D247" s="13" t="inlineStr">
        <is>
          <t>M/s Shree Durga Traders (41)</t>
        </is>
      </c>
      <c r="E247" s="13" t="inlineStr">
        <is>
          <t>09.08.2023</t>
        </is>
      </c>
      <c r="F247" s="13" t="inlineStr">
        <is>
          <t>17.11.2023</t>
        </is>
      </c>
      <c r="G247" s="13" t="inlineStr">
        <is>
          <t>2023</t>
        </is>
      </c>
      <c r="H247" s="13" t="inlineStr">
        <is>
          <t>Classification of the Roasted Areca Nut/Betel Nut</t>
        </is>
      </c>
      <c r="I247" s="13" t="inlineStr">
        <is>
          <t>Classification</t>
        </is>
      </c>
      <c r="J247" s="13" t="inlineStr">
        <is>
          <t>explicit</t>
        </is>
      </c>
      <c r="K247" s="13" t="inlineStr">
        <is>
          <t>CAAR/Del/Shree Durga/26/2023</t>
        </is>
      </c>
      <c r="L247" s="14" t="inlineStr">
        <is>
          <t>https://www.cbic.gov.in/content/pdf/CONTENTREPO/CAAR/Shree-durga-41-del-26-ruling-21nov2023.pdf</t>
        </is>
      </c>
      <c r="M247" s="13" t="inlineStr">
        <is>
          <t>YES</t>
        </is>
      </c>
    </row>
    <row r="248">
      <c r="A248" s="13" t="inlineStr">
        <is>
          <t>Delhi Rulings</t>
        </is>
      </c>
      <c r="B248" s="13" t="inlineStr">
        <is>
          <t>25</t>
        </is>
      </c>
      <c r="C248" s="13" t="inlineStr">
        <is>
          <t>244</t>
        </is>
      </c>
      <c r="D248" s="13" t="inlineStr">
        <is>
          <t>M/s Jai Shree Krishna Impex</t>
        </is>
      </c>
      <c r="E248" s="13" t="inlineStr">
        <is>
          <t>02.08.2023</t>
        </is>
      </c>
      <c r="F248" s="13" t="inlineStr">
        <is>
          <t>17.11.2023</t>
        </is>
      </c>
      <c r="G248" s="13" t="inlineStr">
        <is>
          <t>2023</t>
        </is>
      </c>
      <c r="H248" s="13" t="inlineStr">
        <is>
          <t>Classification of the Rubber Balloon</t>
        </is>
      </c>
      <c r="I248" s="13" t="inlineStr">
        <is>
          <t>Classification</t>
        </is>
      </c>
      <c r="J248" s="13" t="inlineStr">
        <is>
          <t>explicit</t>
        </is>
      </c>
      <c r="K248" s="13" t="inlineStr">
        <is>
          <t>CAAR/Del/Jai Shree/25/2023</t>
        </is>
      </c>
      <c r="L248" s="14" t="inlineStr">
        <is>
          <t>https://www.cbic.gov.in/content/pdf/CONTENTREPO/CAAR/caar-del-rul-25-17112023.pdf</t>
        </is>
      </c>
      <c r="M248" s="13" t="inlineStr">
        <is>
          <t>YES</t>
        </is>
      </c>
    </row>
    <row r="249">
      <c r="A249" s="13" t="inlineStr">
        <is>
          <t>Delhi Rulings</t>
        </is>
      </c>
      <c r="B249" s="13" t="inlineStr">
        <is>
          <t>25</t>
        </is>
      </c>
      <c r="C249" s="13" t="inlineStr">
        <is>
          <t>245</t>
        </is>
      </c>
      <c r="D249" s="13" t="inlineStr">
        <is>
          <t>M/s Three Bond India Pvt Ltd.</t>
        </is>
      </c>
      <c r="E249" s="13" t="inlineStr">
        <is>
          <t>08.05.2023</t>
        </is>
      </c>
      <c r="F249" s="13" t="inlineStr">
        <is>
          <t>09.11.2023</t>
        </is>
      </c>
      <c r="G249" s="13" t="inlineStr">
        <is>
          <t>2023</t>
        </is>
      </c>
      <c r="H249" s="13" t="inlineStr">
        <is>
          <t>Classification of the sealant/adhesives</t>
        </is>
      </c>
      <c r="I249" s="13" t="inlineStr">
        <is>
          <t>Classification</t>
        </is>
      </c>
      <c r="J249" s="13" t="inlineStr">
        <is>
          <t>explicit</t>
        </is>
      </c>
      <c r="K249" s="13" t="inlineStr">
        <is>
          <t>CAAR/Del/Three Bond/24/2023</t>
        </is>
      </c>
      <c r="L249" s="14" t="inlineStr">
        <is>
          <t>https://www.cbic.gov.in/content/pdf/CONTENTREPO/CAAR/car-delhi-threebond-24.pdf</t>
        </is>
      </c>
      <c r="M249" s="13" t="inlineStr">
        <is>
          <t>YES</t>
        </is>
      </c>
    </row>
    <row r="250">
      <c r="A250" s="13" t="inlineStr">
        <is>
          <t>Delhi Rulings</t>
        </is>
      </c>
      <c r="B250" s="13" t="inlineStr">
        <is>
          <t>25</t>
        </is>
      </c>
      <c r="C250" s="13" t="inlineStr">
        <is>
          <t>246</t>
        </is>
      </c>
      <c r="D250" s="13" t="inlineStr">
        <is>
          <t>M/s Qualcomm India Pvt Ltd.</t>
        </is>
      </c>
      <c r="E250" s="13" t="inlineStr">
        <is>
          <t>24.01.2023</t>
        </is>
      </c>
      <c r="F250" s="13" t="inlineStr">
        <is>
          <t>01.11.2023</t>
        </is>
      </c>
      <c r="G250" s="13" t="inlineStr">
        <is>
          <t>2023</t>
        </is>
      </c>
      <c r="H250" s="13" t="inlineStr">
        <is>
          <t>Classification of the subject goods</t>
        </is>
      </c>
      <c r="I250" s="13" t="inlineStr">
        <is>
          <t>Classification</t>
        </is>
      </c>
      <c r="J250" s="13" t="inlineStr">
        <is>
          <t>explicit</t>
        </is>
      </c>
      <c r="K250" s="13" t="inlineStr">
        <is>
          <t>CAAR/Del/Qualcomm/23/2023</t>
        </is>
      </c>
      <c r="L250" s="14" t="inlineStr">
        <is>
          <t>https://www.cbic.gov.in/content/pdf/CONTENTREPO/CAAR/car-delhi-qualcom-23-24042024.pdf</t>
        </is>
      </c>
      <c r="M250" s="13" t="inlineStr">
        <is>
          <t>YES</t>
        </is>
      </c>
    </row>
    <row r="251">
      <c r="A251" s="13" t="inlineStr">
        <is>
          <t>Delhi Rulings</t>
        </is>
      </c>
      <c r="B251" s="13" t="inlineStr">
        <is>
          <t>25</t>
        </is>
      </c>
      <c r="C251" s="13" t="inlineStr">
        <is>
          <t>247</t>
        </is>
      </c>
      <c r="D251" s="13" t="inlineStr">
        <is>
          <t>M/s Amazon Wholesale India Pvt. Ltd.</t>
        </is>
      </c>
      <c r="E251" s="13" t="inlineStr">
        <is>
          <t>02.03.2023</t>
        </is>
      </c>
      <c r="F251" s="13" t="inlineStr">
        <is>
          <t>27.09.2023</t>
        </is>
      </c>
      <c r="G251" s="13" t="inlineStr">
        <is>
          <t>2023</t>
        </is>
      </c>
      <c r="H251" s="13" t="inlineStr">
        <is>
          <t>Classification of Digital Media Receiver (Model no C2H4R9)Notification no 57/2017 dated 30.06.2017</t>
        </is>
      </c>
      <c r="I251" s="13" t="inlineStr">
        <is>
          <t>Exemption</t>
        </is>
      </c>
      <c r="J251" s="13" t="inlineStr">
        <is>
          <t>explicit</t>
        </is>
      </c>
      <c r="K251" s="13" t="inlineStr">
        <is>
          <t>CAAR/Del/Amazon/22/2023</t>
        </is>
      </c>
      <c r="L251" s="14" t="inlineStr">
        <is>
          <t>https://www.cbic.gov.in/content/pdf/CONTENTREPO/CAAR/ruling-Amazon-02102023.pdf</t>
        </is>
      </c>
      <c r="M251" s="13" t="inlineStr">
        <is>
          <t>YES</t>
        </is>
      </c>
    </row>
    <row r="252">
      <c r="A252" s="13" t="inlineStr">
        <is>
          <t>Delhi Rulings</t>
        </is>
      </c>
      <c r="B252" s="13" t="inlineStr">
        <is>
          <t>25</t>
        </is>
      </c>
      <c r="C252" s="13" t="inlineStr">
        <is>
          <t>248</t>
        </is>
      </c>
      <c r="D252" s="13" t="inlineStr">
        <is>
          <t>M/s Nikon India Pvt Ltd</t>
        </is>
      </c>
      <c r="E252" s="13" t="inlineStr">
        <is>
          <t>07.05.2023</t>
        </is>
      </c>
      <c r="F252" s="13" t="inlineStr">
        <is>
          <t>19.09.2023</t>
        </is>
      </c>
      <c r="G252" s="13" t="inlineStr">
        <is>
          <t>2023</t>
        </is>
      </c>
      <c r="H252" s="13" t="inlineStr">
        <is>
          <t>Classification of Nikon Camera Model no N2120 Notification no 50/2017 dated 30.06.2017.</t>
        </is>
      </c>
      <c r="I252" s="13" t="inlineStr">
        <is>
          <t>Exemption</t>
        </is>
      </c>
      <c r="J252" s="13" t="inlineStr">
        <is>
          <t>explicit</t>
        </is>
      </c>
      <c r="K252" s="13" t="inlineStr">
        <is>
          <t>CAAR/Del/Nikon/21/2023</t>
        </is>
      </c>
      <c r="L252" s="14" t="inlineStr">
        <is>
          <t>https://www.cbic.gov.in/content/pdf/CONTENTREPO/CAAR/ruling-nikon-20092023.pdf</t>
        </is>
      </c>
      <c r="M252" s="13" t="inlineStr">
        <is>
          <t>YES</t>
        </is>
      </c>
    </row>
    <row r="253">
      <c r="A253" s="13" t="inlineStr">
        <is>
          <t>Delhi Rulings</t>
        </is>
      </c>
      <c r="B253" s="13" t="inlineStr">
        <is>
          <t>25</t>
        </is>
      </c>
      <c r="C253" s="13" t="inlineStr">
        <is>
          <t>249</t>
        </is>
      </c>
      <c r="D253" s="13" t="inlineStr">
        <is>
          <t>M/s Fresenius Kabi Oncology Limited</t>
        </is>
      </c>
      <c r="E253" s="13" t="inlineStr">
        <is>
          <t>10.04.2023</t>
        </is>
      </c>
      <c r="F253" s="13" t="inlineStr">
        <is>
          <t>31.08.2023</t>
        </is>
      </c>
      <c r="G253" s="13" t="inlineStr">
        <is>
          <t>2023</t>
        </is>
      </c>
      <c r="H253" s="13" t="inlineStr">
        <is>
          <t>Notification applicability on import of Sponge Platinum for manufacture of Active Pharmaceutical Ing</t>
        </is>
      </c>
      <c r="I253" s="13" t="inlineStr">
        <is>
          <t>Exemption</t>
        </is>
      </c>
      <c r="J253" s="13" t="inlineStr">
        <is>
          <t>explicit</t>
        </is>
      </c>
      <c r="K253" s="13" t="inlineStr">
        <is>
          <t>CAAR/Del/Fresenius/20/2023</t>
        </is>
      </c>
      <c r="L253" s="14" t="inlineStr">
        <is>
          <t>https://www.cbic.gov.in/content/pdf/CONTENTREPO/CAAR/caar-fresenius-20-delhi-rul-30052024.pdf</t>
        </is>
      </c>
      <c r="M253" s="13" t="inlineStr">
        <is>
          <t>YES</t>
        </is>
      </c>
    </row>
    <row r="254">
      <c r="A254" s="13" t="inlineStr">
        <is>
          <t>Delhi Rulings</t>
        </is>
      </c>
      <c r="B254" s="13" t="inlineStr">
        <is>
          <t>25</t>
        </is>
      </c>
      <c r="C254" s="13" t="inlineStr">
        <is>
          <t>250</t>
        </is>
      </c>
      <c r="D254" s="13" t="inlineStr">
        <is>
          <t>M/s Supertron Electronics Pvt Ltd</t>
        </is>
      </c>
      <c r="E254" s="13" t="inlineStr">
        <is>
          <t>14.04.2023</t>
        </is>
      </c>
      <c r="F254" s="13" t="inlineStr">
        <is>
          <t>21.08.2023</t>
        </is>
      </c>
      <c r="G254" s="13" t="inlineStr">
        <is>
          <t>2023</t>
        </is>
      </c>
      <c r="H254" s="13" t="inlineStr">
        <is>
          <t>Classification on import of Optoma Creative Touch 5-Series (IFP).</t>
        </is>
      </c>
      <c r="I254" s="13" t="inlineStr">
        <is>
          <t>Classification</t>
        </is>
      </c>
      <c r="J254" s="13" t="inlineStr">
        <is>
          <t>explicit</t>
        </is>
      </c>
      <c r="K254" s="13" t="inlineStr">
        <is>
          <t>CAAR/Del/Supertron/19/2023</t>
        </is>
      </c>
      <c r="L254" s="14" t="inlineStr">
        <is>
          <t>https://www.cbic.gov.in/content/pdf/CONTENTREPO/CAAR/ruling-supertron-24082023.pdf</t>
        </is>
      </c>
      <c r="M254" s="13" t="inlineStr">
        <is>
          <t>YES</t>
        </is>
      </c>
    </row>
    <row r="255">
      <c r="A255" s="13" t="inlineStr">
        <is>
          <t>Delhi Rulings</t>
        </is>
      </c>
      <c r="B255" s="13" t="inlineStr">
        <is>
          <t>26</t>
        </is>
      </c>
      <c r="C255" s="13" t="inlineStr">
        <is>
          <t>251</t>
        </is>
      </c>
      <c r="D255" s="13" t="inlineStr">
        <is>
          <t>M/s Shree Hari Ananta Overseas Pvt Ltd</t>
        </is>
      </c>
      <c r="E255" s="13" t="inlineStr">
        <is>
          <t>18.05.2023</t>
        </is>
      </c>
      <c r="F255" s="13" t="inlineStr">
        <is>
          <t>04.08.2023</t>
        </is>
      </c>
      <c r="G255" s="13" t="inlineStr">
        <is>
          <t>2023</t>
        </is>
      </c>
      <c r="H255" s="13" t="inlineStr">
        <is>
          <t>Classification on import of Betel Nuts.</t>
        </is>
      </c>
      <c r="I255" s="13" t="inlineStr">
        <is>
          <t>Classification</t>
        </is>
      </c>
      <c r="J255" s="13" t="inlineStr">
        <is>
          <t>explicit</t>
        </is>
      </c>
      <c r="K255" s="13" t="inlineStr">
        <is>
          <t>CAAR/Del/Shree Hari/18/2023</t>
        </is>
      </c>
      <c r="L255" s="14" t="inlineStr">
        <is>
          <t>https://www.cbic.gov.in/content/pdf/CONTENTREPO/CAAR/ruling-shree-hari-24082023.pdf</t>
        </is>
      </c>
      <c r="M255" s="13" t="inlineStr">
        <is>
          <t>YES</t>
        </is>
      </c>
    </row>
    <row r="256">
      <c r="A256" s="13" t="inlineStr">
        <is>
          <t>Delhi Rulings</t>
        </is>
      </c>
      <c r="B256" s="13" t="inlineStr">
        <is>
          <t>26</t>
        </is>
      </c>
      <c r="C256" s="13" t="inlineStr">
        <is>
          <t>252</t>
        </is>
      </c>
      <c r="D256" s="13" t="inlineStr">
        <is>
          <t>M/s Samsung India Electronics Pvt Ltd</t>
        </is>
      </c>
      <c r="E256" s="13" t="inlineStr">
        <is>
          <t>16.03.2023</t>
        </is>
      </c>
      <c r="F256" s="13" t="inlineStr">
        <is>
          <t>31.07.2023</t>
        </is>
      </c>
      <c r="G256" s="13" t="inlineStr">
        <is>
          <t>2023</t>
        </is>
      </c>
      <c r="H256" s="13" t="inlineStr">
        <is>
          <t>Classification and notification applicability on import of Samsung Smart Monitors.</t>
        </is>
      </c>
      <c r="I256" s="13" t="inlineStr">
        <is>
          <t>Exemption</t>
        </is>
      </c>
      <c r="J256" s="13" t="inlineStr">
        <is>
          <t>explicit</t>
        </is>
      </c>
      <c r="K256" s="13" t="inlineStr">
        <is>
          <t>CAAR/Del/Samsung/17/2023</t>
        </is>
      </c>
      <c r="L256" s="14" t="inlineStr">
        <is>
          <t>https://www.cbic.gov.in/content/pdf/CONTENTREPO/CAAR/ruling-samsung-24082023.pdf</t>
        </is>
      </c>
      <c r="M256" s="13" t="inlineStr">
        <is>
          <t>YES</t>
        </is>
      </c>
    </row>
    <row r="257">
      <c r="A257" s="13" t="inlineStr">
        <is>
          <t>Delhi Rulings</t>
        </is>
      </c>
      <c r="B257" s="13" t="inlineStr">
        <is>
          <t>26</t>
        </is>
      </c>
      <c r="C257" s="13" t="inlineStr">
        <is>
          <t>253</t>
        </is>
      </c>
      <c r="D257" s="13" t="inlineStr">
        <is>
          <t>M/s Samsung India Electronics Pvt Ltd</t>
        </is>
      </c>
      <c r="E257" s="13" t="inlineStr">
        <is>
          <t>10.04.2023</t>
        </is>
      </c>
      <c r="F257" s="13" t="inlineStr">
        <is>
          <t>26.07.2023</t>
        </is>
      </c>
      <c r="G257" s="13" t="inlineStr">
        <is>
          <t>2023</t>
        </is>
      </c>
      <c r="H257" s="13" t="inlineStr">
        <is>
          <t>Classification of self-ordering kiosks.</t>
        </is>
      </c>
      <c r="I257" s="13" t="inlineStr">
        <is>
          <t>Classification</t>
        </is>
      </c>
      <c r="J257" s="13" t="inlineStr">
        <is>
          <t>explicit</t>
        </is>
      </c>
      <c r="K257" s="13" t="inlineStr">
        <is>
          <t>CAAR/Del/Samsung/16/2023</t>
        </is>
      </c>
      <c r="L257" s="14" t="inlineStr">
        <is>
          <t>https://www.cbic.gov.in/content/pdf/CONTENTREPO/CAAR/Samsung-162023.pdf</t>
        </is>
      </c>
      <c r="M257" s="13" t="inlineStr">
        <is>
          <t>YES</t>
        </is>
      </c>
    </row>
    <row r="258">
      <c r="A258" s="13" t="inlineStr">
        <is>
          <t>Delhi Rulings</t>
        </is>
      </c>
      <c r="B258" s="13" t="inlineStr">
        <is>
          <t>26</t>
        </is>
      </c>
      <c r="C258" s="13" t="inlineStr">
        <is>
          <t>254</t>
        </is>
      </c>
      <c r="D258" s="13" t="inlineStr">
        <is>
          <t>M/s Amazon Wholesale India Private Limited</t>
        </is>
      </c>
      <c r="E258" s="13" t="inlineStr">
        <is>
          <t>23.12.2022</t>
        </is>
      </c>
      <c r="F258" s="13" t="inlineStr">
        <is>
          <t>12.07.2023</t>
        </is>
      </c>
      <c r="G258" s="13" t="inlineStr">
        <is>
          <t>2023</t>
        </is>
      </c>
      <c r="H258" s="13" t="inlineStr">
        <is>
          <t>Classification of Eco Dot devices.</t>
        </is>
      </c>
      <c r="I258" s="13" t="inlineStr">
        <is>
          <t>Classification</t>
        </is>
      </c>
      <c r="J258" s="13" t="inlineStr">
        <is>
          <t>explicit</t>
        </is>
      </c>
      <c r="K258" s="13" t="inlineStr">
        <is>
          <t>CAAR/Del/Amazon/15/2023</t>
        </is>
      </c>
      <c r="L258" s="14" t="inlineStr">
        <is>
          <t>https://www.cbic.gov.in/content/pdf/CONTENTREPO/CAAR/Amazon-152023.pdf</t>
        </is>
      </c>
      <c r="M258" s="13" t="inlineStr">
        <is>
          <t>YES</t>
        </is>
      </c>
    </row>
    <row r="259">
      <c r="A259" s="13" t="inlineStr">
        <is>
          <t>Delhi Rulings</t>
        </is>
      </c>
      <c r="B259" s="13" t="inlineStr">
        <is>
          <t>26</t>
        </is>
      </c>
      <c r="C259" s="13" t="inlineStr">
        <is>
          <t>255</t>
        </is>
      </c>
      <c r="D259" s="13" t="inlineStr">
        <is>
          <t>M/s Halliburton Offshore Services Inc.</t>
        </is>
      </c>
      <c r="E259" s="13" t="inlineStr">
        <is>
          <t>27.12.2022</t>
        </is>
      </c>
      <c r="F259" s="13" t="inlineStr">
        <is>
          <t>28.06.2023</t>
        </is>
      </c>
      <c r="G259" s="13" t="inlineStr">
        <is>
          <t>2023</t>
        </is>
      </c>
      <c r="H259" s="13" t="inlineStr">
        <is>
          <t>Reimport of goods from SEZ/FTWZ to DTA..</t>
        </is>
      </c>
      <c r="I259" s="13" t="inlineStr">
        <is>
          <t>Exemption</t>
        </is>
      </c>
      <c r="J259" s="13" t="inlineStr">
        <is>
          <t>explicit</t>
        </is>
      </c>
      <c r="K259" s="13" t="inlineStr">
        <is>
          <t>CAAR/Del/ Halliburton/14/2023</t>
        </is>
      </c>
      <c r="L259" s="14" t="inlineStr">
        <is>
          <t>https://www.cbic.gov.in/content/pdf/CONTENTREPO/CAAR/halliburton-services-05072023.pdf</t>
        </is>
      </c>
      <c r="M259" s="13" t="inlineStr">
        <is>
          <t>YES</t>
        </is>
      </c>
    </row>
    <row r="260">
      <c r="A260" s="13" t="inlineStr">
        <is>
          <t>Delhi Rulings</t>
        </is>
      </c>
      <c r="B260" s="13" t="inlineStr">
        <is>
          <t>26</t>
        </is>
      </c>
      <c r="C260" s="13" t="inlineStr">
        <is>
          <t>256</t>
        </is>
      </c>
      <c r="D260" s="13" t="inlineStr">
        <is>
          <t>M/s Baker Hughes Singapore Pte.</t>
        </is>
      </c>
      <c r="E260" s="13" t="inlineStr">
        <is>
          <t>06.01.2023</t>
        </is>
      </c>
      <c r="F260" s="13" t="inlineStr">
        <is>
          <t>28.06.2023</t>
        </is>
      </c>
      <c r="G260" s="13" t="inlineStr">
        <is>
          <t>2023</t>
        </is>
      </c>
      <c r="H260" s="13" t="inlineStr">
        <is>
          <t>Reimport of goods from SEZ/FTWZ to DTA..</t>
        </is>
      </c>
      <c r="I260" s="13" t="inlineStr">
        <is>
          <t>Exemption</t>
        </is>
      </c>
      <c r="J260" s="13" t="inlineStr">
        <is>
          <t>explicit</t>
        </is>
      </c>
      <c r="K260" s="13" t="inlineStr">
        <is>
          <t>CAAR/Del/ Baker Hughes Spore/13/2023</t>
        </is>
      </c>
      <c r="L260" s="14" t="inlineStr">
        <is>
          <t>https://www.cbic.gov.in/content/pdf/CONTENTREPO/CAAR/baker-hughes-singapore-05072023.pdf</t>
        </is>
      </c>
      <c r="M260" s="13" t="inlineStr">
        <is>
          <t>YES</t>
        </is>
      </c>
    </row>
    <row r="261">
      <c r="A261" s="13" t="inlineStr">
        <is>
          <t>Delhi Rulings</t>
        </is>
      </c>
      <c r="B261" s="13" t="inlineStr">
        <is>
          <t>26</t>
        </is>
      </c>
      <c r="C261" s="13" t="inlineStr">
        <is>
          <t>257</t>
        </is>
      </c>
      <c r="D261" s="13" t="inlineStr">
        <is>
          <t>M/s BJ Services Company Middle East Ltd.</t>
        </is>
      </c>
      <c r="E261" s="13" t="inlineStr">
        <is>
          <t>21.12.2023</t>
        </is>
      </c>
      <c r="F261" s="13" t="inlineStr">
        <is>
          <t>28.06.2023</t>
        </is>
      </c>
      <c r="G261" s="13" t="inlineStr">
        <is>
          <t>2023</t>
        </is>
      </c>
      <c r="H261" s="13" t="inlineStr">
        <is>
          <t>Reimport of goods from SEZ/FTWZ to DTA.</t>
        </is>
      </c>
      <c r="I261" s="13" t="inlineStr">
        <is>
          <t>Exemption</t>
        </is>
      </c>
      <c r="J261" s="13" t="inlineStr">
        <is>
          <t>explicit</t>
        </is>
      </c>
      <c r="K261" s="13" t="inlineStr">
        <is>
          <t>CAAR/Del/ BJ Services/12/2023</t>
        </is>
      </c>
      <c r="L261" s="14" t="inlineStr">
        <is>
          <t>https://www.cbic.gov.in/content/pdf/CONTENTREPO/CAAR/bj-services-05072023.pdf</t>
        </is>
      </c>
      <c r="M261" s="13" t="inlineStr">
        <is>
          <t>YES</t>
        </is>
      </c>
    </row>
    <row r="262">
      <c r="A262" s="13" t="inlineStr">
        <is>
          <t>Delhi Rulings</t>
        </is>
      </c>
      <c r="B262" s="13" t="inlineStr">
        <is>
          <t>26</t>
        </is>
      </c>
      <c r="C262" s="13" t="inlineStr">
        <is>
          <t>258</t>
        </is>
      </c>
      <c r="D262" s="13" t="inlineStr">
        <is>
          <t>M/s Socomec India Private Limited.</t>
        </is>
      </c>
      <c r="E262" s="13" t="inlineStr">
        <is>
          <t>19.12.2022</t>
        </is>
      </c>
      <c r="F262" s="13" t="inlineStr">
        <is>
          <t>06.06.2023</t>
        </is>
      </c>
      <c r="G262" s="13" t="inlineStr">
        <is>
          <t>2023</t>
        </is>
      </c>
      <c r="H262" s="13" t="inlineStr">
        <is>
          <t>Classification of UPS and claim of exemption under Notfn No. 25/2005</t>
        </is>
      </c>
      <c r="I262" s="13" t="inlineStr">
        <is>
          <t>Exemption</t>
        </is>
      </c>
      <c r="J262" s="13" t="inlineStr">
        <is>
          <t>explicit</t>
        </is>
      </c>
      <c r="K262" s="13" t="inlineStr">
        <is>
          <t>CAAR/Del/ Socomec/11/2023</t>
        </is>
      </c>
      <c r="L262" s="14" t="inlineStr">
        <is>
          <t>https://www.cbic.gov.in/content/pdf/CONTENTREPO/CAAR/ruling-socomec-27062023.pdf</t>
        </is>
      </c>
      <c r="M262" s="13" t="inlineStr">
        <is>
          <t>YES</t>
        </is>
      </c>
    </row>
    <row r="263">
      <c r="A263" s="13" t="inlineStr">
        <is>
          <t>Delhi Rulings</t>
        </is>
      </c>
      <c r="B263" s="13" t="inlineStr">
        <is>
          <t>26</t>
        </is>
      </c>
      <c r="C263" s="13" t="inlineStr">
        <is>
          <t>259</t>
        </is>
      </c>
      <c r="D263" s="13" t="inlineStr">
        <is>
          <t>M/s Baker Hughes Oilfield Services Private Limited.</t>
        </is>
      </c>
      <c r="E263" s="13" t="inlineStr">
        <is>
          <t>25.01.2023</t>
        </is>
      </c>
      <c r="F263" s="13" t="inlineStr">
        <is>
          <t>28.04.2023</t>
        </is>
      </c>
      <c r="G263" s="13" t="inlineStr">
        <is>
          <t>2023</t>
        </is>
      </c>
      <c r="H263" s="13" t="inlineStr">
        <is>
          <t>Re-import of the goods/ equipments from SEZ/ FTWZ to DTA</t>
        </is>
      </c>
      <c r="I263" s="13" t="inlineStr">
        <is>
          <t>Exemption</t>
        </is>
      </c>
      <c r="J263" s="13" t="inlineStr">
        <is>
          <t>explicit</t>
        </is>
      </c>
      <c r="K263" s="13" t="inlineStr">
        <is>
          <t>CAAR/Del/Baker Hughes/09/2023</t>
        </is>
      </c>
      <c r="L263" s="14" t="inlineStr">
        <is>
          <t>https://www.cbic.gov.in/content/pdf/CONTENTREPO/CAAR/bakers-30052023.pdf</t>
        </is>
      </c>
      <c r="M263" s="13" t="inlineStr">
        <is>
          <t>YES</t>
        </is>
      </c>
    </row>
    <row r="264">
      <c r="A264" s="13" t="inlineStr">
        <is>
          <t>Delhi Rulings</t>
        </is>
      </c>
      <c r="B264" s="13" t="inlineStr">
        <is>
          <t>26</t>
        </is>
      </c>
      <c r="C264" s="13" t="inlineStr">
        <is>
          <t>260</t>
        </is>
      </c>
      <c r="D264" s="13" t="inlineStr">
        <is>
          <t>M/s Superton Electronics Private Limited.</t>
        </is>
      </c>
      <c r="E264" s="13" t="inlineStr">
        <is>
          <t>20.12.2022</t>
        </is>
      </c>
      <c r="F264" s="13" t="inlineStr">
        <is>
          <t>09.05.2023</t>
        </is>
      </c>
      <c r="G264" s="13" t="inlineStr">
        <is>
          <t>2023</t>
        </is>
      </c>
      <c r="H264" s="13" t="inlineStr">
        <is>
          <t>Classification of Optoma Creative Touch-3 Series Interactive Flat Panel (IFP).</t>
        </is>
      </c>
      <c r="I264" s="13" t="inlineStr">
        <is>
          <t>Classification</t>
        </is>
      </c>
      <c r="J264" s="13" t="inlineStr">
        <is>
          <t>explicit</t>
        </is>
      </c>
      <c r="K264" s="13" t="inlineStr">
        <is>
          <t>CAAR/Del/Supertron/10/2023</t>
        </is>
      </c>
      <c r="L264" s="14" t="inlineStr">
        <is>
          <t>https://www.cbic.gov.in/content/pdf/CONTENTREPO/CAAR/Supertron-10-30052023.pdf</t>
        </is>
      </c>
      <c r="M264" s="13" t="inlineStr">
        <is>
          <t>YES</t>
        </is>
      </c>
    </row>
    <row r="265">
      <c r="A265" s="13" t="inlineStr">
        <is>
          <t>Delhi Rulings</t>
        </is>
      </c>
      <c r="B265" s="13" t="inlineStr">
        <is>
          <t>27</t>
        </is>
      </c>
      <c r="C265" s="13" t="inlineStr">
        <is>
          <t>261</t>
        </is>
      </c>
      <c r="D265" s="13" t="inlineStr">
        <is>
          <t>M/s Amazon wholesale India Private Limited</t>
        </is>
      </c>
      <c r="E265" s="13" t="inlineStr">
        <is>
          <t>19.09.2022</t>
        </is>
      </c>
      <c r="F265" s="13" t="inlineStr">
        <is>
          <t>19.04.2023</t>
        </is>
      </c>
      <c r="G265" s="13" t="inlineStr">
        <is>
          <t>2023</t>
        </is>
      </c>
      <c r="H265" s="13" t="inlineStr">
        <is>
          <t>Classification of Media Streaming Device[Fire TV Cube- 3rd Generation and Fire TV Alexa Voice Remote</t>
        </is>
      </c>
      <c r="I265" s="13" t="inlineStr">
        <is>
          <t>Classification</t>
        </is>
      </c>
      <c r="J265" s="13" t="inlineStr">
        <is>
          <t>explicit</t>
        </is>
      </c>
      <c r="K265" s="13" t="inlineStr">
        <is>
          <t>CAAR/Del/Amazon/08/2023</t>
        </is>
      </c>
      <c r="L265" s="14" t="inlineStr">
        <is>
          <t>https://www.cbic.gov.in/content/pdf/CONTENTREPO/CAAR/caar-amazon-08-delhi-rul-30052024.pdf</t>
        </is>
      </c>
      <c r="M265" s="13" t="inlineStr">
        <is>
          <t>YES</t>
        </is>
      </c>
    </row>
    <row r="266">
      <c r="A266" s="13" t="inlineStr">
        <is>
          <t>Delhi Rulings</t>
        </is>
      </c>
      <c r="B266" s="13" t="inlineStr">
        <is>
          <t>27</t>
        </is>
      </c>
      <c r="C266" s="13" t="inlineStr">
        <is>
          <t>262</t>
        </is>
      </c>
      <c r="D266" s="13" t="inlineStr">
        <is>
          <t>M/s Amazon wholesale India Private Limited</t>
        </is>
      </c>
      <c r="E266" s="13" t="inlineStr">
        <is>
          <t>03.10.2022</t>
        </is>
      </c>
      <c r="F266" s="13" t="inlineStr">
        <is>
          <t>27.03.2023</t>
        </is>
      </c>
      <c r="G266" s="13" t="inlineStr">
        <is>
          <t>2023</t>
        </is>
      </c>
      <c r="H266" s="13" t="inlineStr">
        <is>
          <t>Classification of Electronics Display Device (E-Reader) (Kindle 11th Gen).</t>
        </is>
      </c>
      <c r="I266" s="13" t="inlineStr">
        <is>
          <t>Classification</t>
        </is>
      </c>
      <c r="J266" s="13" t="inlineStr">
        <is>
          <t>explicit</t>
        </is>
      </c>
      <c r="K266" s="13" t="inlineStr">
        <is>
          <t>CAAR/Del/Amazon/07/2023</t>
        </is>
      </c>
      <c r="L266" s="14" t="inlineStr">
        <is>
          <t>https://www.cbic.gov.in/content/pdf/CONTENTREPO/CAAR/caar-amazon-07-delhi-rul-30052024.pdf</t>
        </is>
      </c>
      <c r="M266" s="13" t="inlineStr">
        <is>
          <t>YES</t>
        </is>
      </c>
    </row>
    <row r="267">
      <c r="A267" s="13" t="inlineStr">
        <is>
          <t>Delhi Rulings</t>
        </is>
      </c>
      <c r="B267" s="13" t="inlineStr">
        <is>
          <t>27</t>
        </is>
      </c>
      <c r="C267" s="13" t="inlineStr">
        <is>
          <t>263</t>
        </is>
      </c>
      <c r="D267" s="13" t="inlineStr">
        <is>
          <t>M/s Supertron Electronics Private Limited</t>
        </is>
      </c>
      <c r="E267" s="13" t="inlineStr">
        <is>
          <t>11.11.2022</t>
        </is>
      </c>
      <c r="F267" s="13" t="inlineStr">
        <is>
          <t>09.03.2023</t>
        </is>
      </c>
      <c r="G267" s="13" t="inlineStr">
        <is>
          <t>2023</t>
        </is>
      </c>
      <c r="H267" s="13" t="inlineStr">
        <is>
          <t>Classification of Data Projectors.</t>
        </is>
      </c>
      <c r="I267" s="13" t="inlineStr">
        <is>
          <t>Classification</t>
        </is>
      </c>
      <c r="J267" s="13" t="inlineStr">
        <is>
          <t>explicit</t>
        </is>
      </c>
      <c r="K267" s="13" t="inlineStr">
        <is>
          <t>CAAR/Del/Supertron/06/2023</t>
        </is>
      </c>
      <c r="L267" s="14" t="inlineStr">
        <is>
          <t>https://www.cbic.gov.in/content/pdf/CONTENTREPO/CAAR/supertron-electronics-09march2023.pdf</t>
        </is>
      </c>
      <c r="M267" s="13" t="inlineStr">
        <is>
          <t>YES</t>
        </is>
      </c>
    </row>
    <row r="268">
      <c r="A268" s="13" t="inlineStr">
        <is>
          <t>Delhi Rulings</t>
        </is>
      </c>
      <c r="B268" s="13" t="inlineStr">
        <is>
          <t>27</t>
        </is>
      </c>
      <c r="C268" s="13" t="inlineStr">
        <is>
          <t>264</t>
        </is>
      </c>
      <c r="D268" s="13" t="inlineStr">
        <is>
          <t>M/s Wholesome Essentials</t>
        </is>
      </c>
      <c r="E268" s="13" t="inlineStr">
        <is>
          <t>15.11.2022</t>
        </is>
      </c>
      <c r="F268" s="13" t="inlineStr">
        <is>
          <t>23.02.2023</t>
        </is>
      </c>
      <c r="G268" s="13" t="inlineStr">
        <is>
          <t>2023</t>
        </is>
      </c>
      <c r="H268" s="13" t="inlineStr">
        <is>
          <t>Classification of Dried Black Currant 08062010.</t>
        </is>
      </c>
      <c r="I268" s="13" t="inlineStr">
        <is>
          <t>Classification</t>
        </is>
      </c>
      <c r="J268" s="13" t="inlineStr">
        <is>
          <t>explicit</t>
        </is>
      </c>
      <c r="K268" s="13" t="inlineStr">
        <is>
          <t>CAAR/Del/Wholesome/05/2023</t>
        </is>
      </c>
      <c r="L268" s="14" t="inlineStr">
        <is>
          <t>https://www.cbic.gov.in/content/pdf/CONTENTREPO/CAAR/Dried-Black-Currant-27022023.pdf</t>
        </is>
      </c>
      <c r="M268" s="13" t="inlineStr">
        <is>
          <t>YES</t>
        </is>
      </c>
    </row>
    <row r="269">
      <c r="A269" s="13" t="inlineStr">
        <is>
          <t>Delhi Rulings</t>
        </is>
      </c>
      <c r="B269" s="13" t="inlineStr">
        <is>
          <t>27</t>
        </is>
      </c>
      <c r="C269" s="13" t="inlineStr">
        <is>
          <t>265</t>
        </is>
      </c>
      <c r="D269" s="13" t="inlineStr">
        <is>
          <t>M/s Hitachi Astemo FIE Private Limited</t>
        </is>
      </c>
      <c r="E269" s="13" t="inlineStr">
        <is>
          <t>30.08.2022</t>
        </is>
      </c>
      <c r="F269" s="13" t="inlineStr">
        <is>
          <t>02.02.2023</t>
        </is>
      </c>
      <c r="G269" s="13" t="inlineStr">
        <is>
          <t>2023</t>
        </is>
      </c>
      <c r="H269" s="13" t="inlineStr">
        <is>
          <t>Classification of stepper motor under Sub-heading 85011012.</t>
        </is>
      </c>
      <c r="I269" s="13" t="inlineStr">
        <is>
          <t>Classification</t>
        </is>
      </c>
      <c r="J269" s="13" t="inlineStr">
        <is>
          <t>explicit</t>
        </is>
      </c>
      <c r="K269" s="13" t="inlineStr">
        <is>
          <t>CAAR/Del/Hitachi/04/2023</t>
        </is>
      </c>
      <c r="L269" s="14" t="inlineStr">
        <is>
          <t>https://www.cbic.gov.in/content/pdf/CONTENTREPO/CAAR/hitachi-02022023.pdf</t>
        </is>
      </c>
      <c r="M269" s="13" t="inlineStr">
        <is>
          <t>YES</t>
        </is>
      </c>
    </row>
    <row r="270">
      <c r="A270" s="13" t="inlineStr">
        <is>
          <t>Delhi Rulings</t>
        </is>
      </c>
      <c r="B270" s="13" t="inlineStr">
        <is>
          <t>27</t>
        </is>
      </c>
      <c r="C270" s="13" t="inlineStr">
        <is>
          <t>266</t>
        </is>
      </c>
      <c r="D270" s="13" t="inlineStr">
        <is>
          <t>M/s Canon India Private Limited</t>
        </is>
      </c>
      <c r="E270" s="13" t="inlineStr">
        <is>
          <t>01.09.2022</t>
        </is>
      </c>
      <c r="F270" s="13" t="inlineStr">
        <is>
          <t>24.01.2023</t>
        </is>
      </c>
      <c r="G270" s="13" t="inlineStr">
        <is>
          <t>2023</t>
        </is>
      </c>
      <c r="H270" s="13" t="inlineStr">
        <is>
          <t>Classification and notification applicability on import of Canon Camera.</t>
        </is>
      </c>
      <c r="I270" s="13" t="inlineStr">
        <is>
          <t>Exemption</t>
        </is>
      </c>
      <c r="J270" s="13" t="inlineStr">
        <is>
          <t>explicit</t>
        </is>
      </c>
      <c r="K270" s="13" t="inlineStr">
        <is>
          <t>CAAR/Del/ Canon/03/2023</t>
        </is>
      </c>
      <c r="L270" s="14" t="inlineStr">
        <is>
          <t>https://www.cbic.gov.in/content/pdf/CONTENTREPO/CAAR/caar-canon-03-delhi-rul-30052024.pdf</t>
        </is>
      </c>
      <c r="M270" s="13" t="inlineStr">
        <is>
          <t>YES</t>
        </is>
      </c>
    </row>
    <row r="271">
      <c r="A271" s="13" t="inlineStr">
        <is>
          <t>Delhi Rulings</t>
        </is>
      </c>
      <c r="B271" s="13" t="inlineStr">
        <is>
          <t>27</t>
        </is>
      </c>
      <c r="C271" s="13" t="inlineStr">
        <is>
          <t>267</t>
        </is>
      </c>
      <c r="D271" s="13" t="inlineStr">
        <is>
          <t>M/s Canon India Private Limited</t>
        </is>
      </c>
      <c r="E271" s="13" t="inlineStr">
        <is>
          <t>01.09.2022</t>
        </is>
      </c>
      <c r="F271" s="13" t="inlineStr">
        <is>
          <t>13.01.2023</t>
        </is>
      </c>
      <c r="G271" s="13" t="inlineStr">
        <is>
          <t>2023</t>
        </is>
      </c>
      <c r="H271" s="13" t="inlineStr">
        <is>
          <t>Classification and notification applicability on import of Canon Camera.</t>
        </is>
      </c>
      <c r="I271" s="13" t="inlineStr">
        <is>
          <t>Exemption</t>
        </is>
      </c>
      <c r="J271" s="13" t="inlineStr">
        <is>
          <t>explicit</t>
        </is>
      </c>
      <c r="K271" s="13" t="inlineStr">
        <is>
          <t>CAAR/Del/ Canon/02/2023</t>
        </is>
      </c>
      <c r="L271" s="14" t="inlineStr">
        <is>
          <t>https://www.cbic.gov.in/content/pdf/CONTENTREPO/CAAR/caar-canon-02-delhi-rul-30052024.pdf</t>
        </is>
      </c>
      <c r="M271" s="13" t="inlineStr">
        <is>
          <t>YES</t>
        </is>
      </c>
    </row>
    <row r="272">
      <c r="A272" s="13" t="inlineStr">
        <is>
          <t>Delhi Rulings</t>
        </is>
      </c>
      <c r="B272" s="13" t="inlineStr">
        <is>
          <t>27</t>
        </is>
      </c>
      <c r="C272" s="13" t="inlineStr">
        <is>
          <t>268</t>
        </is>
      </c>
      <c r="D272" s="13" t="inlineStr">
        <is>
          <t>M/s Supertron Electronics Private Limited</t>
        </is>
      </c>
      <c r="E272" s="13" t="inlineStr">
        <is>
          <t>10.08.2022</t>
        </is>
      </c>
      <c r="F272" s="13" t="inlineStr">
        <is>
          <t>05.01.2023</t>
        </is>
      </c>
      <c r="G272" s="13" t="inlineStr">
        <is>
          <t>2023</t>
        </is>
      </c>
      <c r="H272" s="13" t="inlineStr">
        <is>
          <t>Classification on import of Data Projector.</t>
        </is>
      </c>
      <c r="I272" s="13" t="inlineStr">
        <is>
          <t>Classification</t>
        </is>
      </c>
      <c r="J272" s="13" t="inlineStr">
        <is>
          <t>explicit</t>
        </is>
      </c>
      <c r="K272" s="13" t="inlineStr">
        <is>
          <t>CAAR/Del/ Supertron/01/2023</t>
        </is>
      </c>
      <c r="L272" s="14" t="inlineStr">
        <is>
          <t>https://www.cbic.gov.in/content/pdf/CONTENTREPO/CAAR/supertron-electronics-05012023.pdf</t>
        </is>
      </c>
      <c r="M272" s="13" t="inlineStr">
        <is>
          <t>YES</t>
        </is>
      </c>
    </row>
    <row r="273">
      <c r="A273" s="13" t="inlineStr">
        <is>
          <t>Delhi Rulings</t>
        </is>
      </c>
      <c r="B273" s="13" t="inlineStr">
        <is>
          <t>27</t>
        </is>
      </c>
      <c r="C273" s="13" t="inlineStr">
        <is>
          <t>269</t>
        </is>
      </c>
      <c r="D273" s="13" t="inlineStr">
        <is>
          <t>M/s Holitech India Pvt. Ltd</t>
        </is>
      </c>
      <c r="E273" s="13" t="inlineStr">
        <is>
          <t>04.04.2022</t>
        </is>
      </c>
      <c r="F273" s="13" t="inlineStr">
        <is>
          <t>29.12.2022</t>
        </is>
      </c>
      <c r="G273" s="13" t="inlineStr">
        <is>
          <t>2022</t>
        </is>
      </c>
      <c r="H273" s="13" t="inlineStr">
        <is>
          <t>Classification of display assembly/module</t>
        </is>
      </c>
      <c r="I273" s="13" t="inlineStr">
        <is>
          <t>Classification</t>
        </is>
      </c>
      <c r="J273" s="13" t="inlineStr">
        <is>
          <t>explicit</t>
        </is>
      </c>
      <c r="K273" s="13" t="inlineStr">
        <is>
          <t>CAAR/Del/Holitech/17/2022</t>
        </is>
      </c>
      <c r="L273" s="14" t="inlineStr">
        <is>
          <t>https://www.cbic.gov.in/content/pdf/CONTENTREPO/CAAR/holitech-del-ruling-17-30dec2022.pdf</t>
        </is>
      </c>
      <c r="M273" s="13" t="inlineStr">
        <is>
          <t>YES</t>
        </is>
      </c>
    </row>
    <row r="274">
      <c r="A274" s="13" t="inlineStr">
        <is>
          <t>Delhi Rulings</t>
        </is>
      </c>
      <c r="B274" s="13" t="inlineStr">
        <is>
          <t>27</t>
        </is>
      </c>
      <c r="C274" s="13" t="inlineStr">
        <is>
          <t>270</t>
        </is>
      </c>
      <c r="D274" s="13" t="inlineStr">
        <is>
          <t>M/s Supertron Electronics Private Limited</t>
        </is>
      </c>
      <c r="E274" s="13" t="inlineStr">
        <is>
          <t>03.02.2022</t>
        </is>
      </c>
      <c r="F274" s="13" t="inlineStr">
        <is>
          <t>23.12.2022</t>
        </is>
      </c>
      <c r="G274" s="13" t="inlineStr">
        <is>
          <t>2022</t>
        </is>
      </c>
      <c r="H274" s="13" t="inlineStr">
        <is>
          <t>Classification on import of Data Projectors</t>
        </is>
      </c>
      <c r="I274" s="13" t="inlineStr">
        <is>
          <t>Classification</t>
        </is>
      </c>
      <c r="J274" s="13" t="inlineStr">
        <is>
          <t>explicit</t>
        </is>
      </c>
      <c r="K274" s="13" t="inlineStr">
        <is>
          <t>CAAR/Del/Supertron/16/2022</t>
        </is>
      </c>
      <c r="L274" s="14" t="inlineStr">
        <is>
          <t>https://www.cbic.gov.in/content/pdf/CONTENTREPO/CAAR/supretron-ruling-16-30dec2022.pdf</t>
        </is>
      </c>
      <c r="M274" s="13" t="inlineStr">
        <is>
          <t>YES</t>
        </is>
      </c>
    </row>
    <row r="275">
      <c r="A275" s="13" t="inlineStr">
        <is>
          <t>Delhi Rulings</t>
        </is>
      </c>
      <c r="B275" s="13" t="inlineStr">
        <is>
          <t>28</t>
        </is>
      </c>
      <c r="C275" s="13" t="inlineStr">
        <is>
          <t>271</t>
        </is>
      </c>
      <c r="D275" s="13" t="inlineStr">
        <is>
          <t>M/s Green Infra Clean Wind Power Limited.</t>
        </is>
      </c>
      <c r="E275" s="13" t="inlineStr">
        <is>
          <t>26.09.2022</t>
        </is>
      </c>
      <c r="F275" s="13" t="inlineStr">
        <is>
          <t>24.11.2022</t>
        </is>
      </c>
      <c r="G275" s="13" t="inlineStr">
        <is>
          <t>2022</t>
        </is>
      </c>
      <c r="H275" s="13" t="inlineStr">
        <is>
          <t>Clarification on import of goods in setting up of Solar Power Plant under PIR 1986</t>
        </is>
      </c>
      <c r="I275" s="13" t="inlineStr">
        <is>
          <t>Classification</t>
        </is>
      </c>
      <c r="J275" s="13" t="inlineStr">
        <is>
          <t>inferred</t>
        </is>
      </c>
      <c r="K275" s="13" t="inlineStr">
        <is>
          <t>CAAR/Delhi/ Green Infra/15/2022</t>
        </is>
      </c>
      <c r="L275" s="14" t="inlineStr">
        <is>
          <t>https://www.cbic.gov.in/content/pdf/CONTENTREPO/CAAR/green-infra-ruling-25nov2022.pdf</t>
        </is>
      </c>
      <c r="M275" s="13" t="inlineStr">
        <is>
          <t>YES</t>
        </is>
      </c>
    </row>
    <row r="276">
      <c r="A276" s="13" t="inlineStr">
        <is>
          <t>Delhi Rulings</t>
        </is>
      </c>
      <c r="B276" s="13" t="inlineStr">
        <is>
          <t>28</t>
        </is>
      </c>
      <c r="C276" s="13" t="inlineStr">
        <is>
          <t>272</t>
        </is>
      </c>
      <c r="D276" s="13" t="inlineStr">
        <is>
          <t>M/s SMI- Amtek Cranshaft Pvt. Ltd.</t>
        </is>
      </c>
      <c r="E276" s="13" t="inlineStr">
        <is>
          <t>29.08.2022</t>
        </is>
      </c>
      <c r="F276" s="13" t="inlineStr">
        <is>
          <t>21.11.2022</t>
        </is>
      </c>
      <c r="G276" s="13" t="inlineStr">
        <is>
          <t>2022</t>
        </is>
      </c>
      <c r="H276" s="13" t="inlineStr">
        <is>
          <t>Classification of Mould Base</t>
        </is>
      </c>
      <c r="I276" s="13" t="inlineStr">
        <is>
          <t>Classification</t>
        </is>
      </c>
      <c r="J276" s="13" t="inlineStr">
        <is>
          <t>explicit</t>
        </is>
      </c>
      <c r="K276" s="13" t="inlineStr">
        <is>
          <t>CAAR/Delhi/ SMI-Amtek/14/2022</t>
        </is>
      </c>
      <c r="L276" s="14" t="inlineStr">
        <is>
          <t>https://www.cbic.gov.in/content/pdf/CONTENTREPO/CAAR/smi-amtek-ruling-22112022.pdf</t>
        </is>
      </c>
      <c r="M276" s="13" t="inlineStr">
        <is>
          <t>YES</t>
        </is>
      </c>
    </row>
    <row r="277">
      <c r="A277" s="13" t="inlineStr">
        <is>
          <t>Delhi Rulings</t>
        </is>
      </c>
      <c r="B277" s="13" t="inlineStr">
        <is>
          <t>28</t>
        </is>
      </c>
      <c r="C277" s="13" t="inlineStr">
        <is>
          <t>273</t>
        </is>
      </c>
      <c r="D277" s="13" t="inlineStr">
        <is>
          <t>M/s HP India Sales Pvt. Ltd</t>
        </is>
      </c>
      <c r="E277" s="13" t="inlineStr">
        <is>
          <t>23.05.2022</t>
        </is>
      </c>
      <c r="F277" s="13" t="inlineStr">
        <is>
          <t>18.11.2022</t>
        </is>
      </c>
      <c r="G277" s="13" t="inlineStr">
        <is>
          <t>2022</t>
        </is>
      </c>
      <c r="H277" s="13" t="inlineStr">
        <is>
          <t>Classification of Laser Jet Printer</t>
        </is>
      </c>
      <c r="I277" s="13" t="inlineStr">
        <is>
          <t>Classification</t>
        </is>
      </c>
      <c r="J277" s="13" t="inlineStr">
        <is>
          <t>explicit</t>
        </is>
      </c>
      <c r="K277" s="13" t="inlineStr">
        <is>
          <t>CAAR/Delhi/ HP India/13/2022</t>
        </is>
      </c>
      <c r="L277" s="14" t="inlineStr">
        <is>
          <t>https://www.cbic.gov.in/content/pdf/CONTENTREPO/CAAR/hp-india-ruling-21112022.pdf</t>
        </is>
      </c>
      <c r="M277" s="13" t="inlineStr">
        <is>
          <t>YES</t>
        </is>
      </c>
    </row>
    <row r="278">
      <c r="A278" s="13" t="inlineStr">
        <is>
          <t>Delhi Rulings</t>
        </is>
      </c>
      <c r="B278" s="13" t="inlineStr">
        <is>
          <t>28</t>
        </is>
      </c>
      <c r="C278" s="13" t="inlineStr">
        <is>
          <t>274</t>
        </is>
      </c>
      <c r="D278" s="13" t="inlineStr">
        <is>
          <t>M/s Canon India Pvt Ltd 7th Floor Tower B Building No. 5 DFL Epitome DLF Phase III Gurugram Haryana
Read More..</t>
        </is>
      </c>
      <c r="E278" s="13" t="inlineStr">
        <is>
          <t>29.04.2022</t>
        </is>
      </c>
      <c r="F278" s="13" t="inlineStr">
        <is>
          <t>19.09.2022</t>
        </is>
      </c>
      <c r="G278" s="13" t="inlineStr">
        <is>
          <t>2022</t>
        </is>
      </c>
      <c r="H278" s="13" t="inlineStr">
        <is>
          <t>Classification of Camera</t>
        </is>
      </c>
      <c r="I278" s="13" t="inlineStr">
        <is>
          <t>Classification</t>
        </is>
      </c>
      <c r="J278" s="13" t="inlineStr">
        <is>
          <t>explicit</t>
        </is>
      </c>
      <c r="K278" s="13" t="inlineStr"/>
      <c r="L278" s="14" t="inlineStr">
        <is>
          <t>https://www.cbic.gov.in/content/pdf/CONTENTREPO/CAAR/caar-del-canon-12-08may2024.pdf</t>
        </is>
      </c>
      <c r="M278" s="13" t="inlineStr">
        <is>
          <t>YES</t>
        </is>
      </c>
    </row>
    <row r="279">
      <c r="A279" s="13" t="inlineStr">
        <is>
          <t>Delhi Rulings</t>
        </is>
      </c>
      <c r="B279" s="13" t="inlineStr">
        <is>
          <t>28</t>
        </is>
      </c>
      <c r="C279" s="13" t="inlineStr">
        <is>
          <t>275</t>
        </is>
      </c>
      <c r="D279" s="13" t="inlineStr">
        <is>
          <t>M/s Amazon Wholesale (India) Private Limited</t>
        </is>
      </c>
      <c r="E279" s="13" t="inlineStr">
        <is>
          <t>17.08.2021</t>
        </is>
      </c>
      <c r="F279" s="13" t="inlineStr">
        <is>
          <t>12.09.2022</t>
        </is>
      </c>
      <c r="G279" s="13" t="inlineStr">
        <is>
          <t>2022</t>
        </is>
      </c>
      <c r="H279" s="13" t="inlineStr">
        <is>
          <t>Classification of Echo Buds.</t>
        </is>
      </c>
      <c r="I279" s="13" t="inlineStr">
        <is>
          <t>Classification</t>
        </is>
      </c>
      <c r="J279" s="13" t="inlineStr">
        <is>
          <t>explicit</t>
        </is>
      </c>
      <c r="K279" s="13" t="inlineStr">
        <is>
          <t>CAAR/Del/Amazon/11/2022</t>
        </is>
      </c>
      <c r="L279" s="14" t="inlineStr">
        <is>
          <t>https://www.cbic.gov.in/content/pdf/CONTENTREPO/CAAR/caar-amazon-11-delhi-rul-30052024.pdf</t>
        </is>
      </c>
      <c r="M279" s="13" t="inlineStr">
        <is>
          <t>YES</t>
        </is>
      </c>
    </row>
    <row r="280">
      <c r="A280" s="13" t="inlineStr">
        <is>
          <t>Delhi Rulings</t>
        </is>
      </c>
      <c r="B280" s="13" t="inlineStr">
        <is>
          <t>28</t>
        </is>
      </c>
      <c r="C280" s="13" t="inlineStr">
        <is>
          <t>276</t>
        </is>
      </c>
      <c r="D280" s="13" t="inlineStr">
        <is>
          <t>M/s Mitsubishi Electric India Pvt Ltd</t>
        </is>
      </c>
      <c r="E280" s="13" t="inlineStr">
        <is>
          <t>20.01.2022</t>
        </is>
      </c>
      <c r="F280" s="13" t="inlineStr">
        <is>
          <t>30.08.2022</t>
        </is>
      </c>
      <c r="G280" s="13" t="inlineStr">
        <is>
          <t>2022</t>
        </is>
      </c>
      <c r="H280" s="13" t="inlineStr">
        <is>
          <t>Classification of Air Conditioners in CKD/SKD condition.</t>
        </is>
      </c>
      <c r="I280" s="13" t="inlineStr">
        <is>
          <t>Classification</t>
        </is>
      </c>
      <c r="J280" s="13" t="inlineStr">
        <is>
          <t>explicit</t>
        </is>
      </c>
      <c r="K280" s="13" t="inlineStr">
        <is>
          <t>CAAR/Del/Mitsubishi/10/2022</t>
        </is>
      </c>
      <c r="L280" s="14" t="inlineStr">
        <is>
          <t>https://www.cbic.gov.in/content/pdf/CONTENTREPO/CAAR/mitubishi-31082022.pdf</t>
        </is>
      </c>
      <c r="M280" s="13" t="inlineStr">
        <is>
          <t>YES</t>
        </is>
      </c>
    </row>
    <row r="281">
      <c r="A281" s="13" t="inlineStr">
        <is>
          <t>Delhi Rulings</t>
        </is>
      </c>
      <c r="B281" s="13" t="inlineStr">
        <is>
          <t>28</t>
        </is>
      </c>
      <c r="C281" s="13" t="inlineStr">
        <is>
          <t>277</t>
        </is>
      </c>
      <c r="D281" s="13" t="inlineStr">
        <is>
          <t>M/s HQ Lamps Manufacturing Co. Pvt Ltd</t>
        </is>
      </c>
      <c r="E281" s="13" t="inlineStr">
        <is>
          <t>21.03.2022</t>
        </is>
      </c>
      <c r="F281" s="13" t="inlineStr">
        <is>
          <t>08.08.2022</t>
        </is>
      </c>
      <c r="G281" s="13" t="inlineStr">
        <is>
          <t>2022</t>
        </is>
      </c>
      <c r="H281" s="13" t="inlineStr">
        <is>
          <t>Classification of LED emergency light and applicability of Notification.</t>
        </is>
      </c>
      <c r="I281" s="13" t="inlineStr">
        <is>
          <t>Exemption</t>
        </is>
      </c>
      <c r="J281" s="13" t="inlineStr">
        <is>
          <t>explicit</t>
        </is>
      </c>
      <c r="K281" s="13" t="inlineStr">
        <is>
          <t>CAAR/Del/HQ Lamps/09/2022</t>
        </is>
      </c>
      <c r="L281" s="14" t="inlineStr">
        <is>
          <t>https://www.cbic.gov.in/content/pdf/CONTENTREPO/CAAR/hq-lamps-08082022.pdf</t>
        </is>
      </c>
      <c r="M281" s="13" t="inlineStr">
        <is>
          <t>YES</t>
        </is>
      </c>
    </row>
    <row r="282">
      <c r="A282" s="13" t="inlineStr">
        <is>
          <t>Delhi Rulings</t>
        </is>
      </c>
      <c r="B282" s="13" t="inlineStr">
        <is>
          <t>28</t>
        </is>
      </c>
      <c r="C282" s="13" t="inlineStr">
        <is>
          <t>278</t>
        </is>
      </c>
      <c r="D282" s="13" t="inlineStr">
        <is>
          <t>M/s Volvo Auto India Pvt Ltd</t>
        </is>
      </c>
      <c r="E282" s="13" t="inlineStr">
        <is>
          <t>26.04.2022</t>
        </is>
      </c>
      <c r="F282" s="13" t="inlineStr">
        <is>
          <t>04.08.2022</t>
        </is>
      </c>
      <c r="G282" s="13" t="inlineStr">
        <is>
          <t>2022</t>
        </is>
      </c>
      <c r="H282" s="13" t="inlineStr">
        <is>
          <t>Classification of Imported Electric Vehicle Kits.</t>
        </is>
      </c>
      <c r="I282" s="13" t="inlineStr">
        <is>
          <t>Classification</t>
        </is>
      </c>
      <c r="J282" s="13" t="inlineStr">
        <is>
          <t>explicit</t>
        </is>
      </c>
      <c r="K282" s="13" t="inlineStr">
        <is>
          <t>CAAR/Del/Volvo Auto/08/2022</t>
        </is>
      </c>
      <c r="L282" s="14" t="inlineStr">
        <is>
          <t>https://www.cbic.gov.in/content/pdf/CONTENTREPO/CAAR/volvo-26072023.pdf</t>
        </is>
      </c>
      <c r="M282" s="13" t="inlineStr">
        <is>
          <t>YES</t>
        </is>
      </c>
    </row>
    <row r="283">
      <c r="A283" s="13" t="inlineStr">
        <is>
          <t>Delhi Rulings</t>
        </is>
      </c>
      <c r="B283" s="13" t="inlineStr">
        <is>
          <t>28</t>
        </is>
      </c>
      <c r="C283" s="13" t="inlineStr">
        <is>
          <t>279</t>
        </is>
      </c>
      <c r="D283" s="13" t="inlineStr">
        <is>
          <t>M/s Shreedhra Agro LLP</t>
        </is>
      </c>
      <c r="E283" s="13" t="inlineStr">
        <is>
          <t>04.02.2022</t>
        </is>
      </c>
      <c r="F283" s="13" t="inlineStr">
        <is>
          <t>22.06.2022</t>
        </is>
      </c>
      <c r="G283" s="13" t="inlineStr">
        <is>
          <t>2022</t>
        </is>
      </c>
      <c r="H283" s="13" t="inlineStr">
        <is>
          <t>Classification of Betel Nut</t>
        </is>
      </c>
      <c r="I283" s="13" t="inlineStr">
        <is>
          <t>Classification</t>
        </is>
      </c>
      <c r="J283" s="13" t="inlineStr">
        <is>
          <t>explicit</t>
        </is>
      </c>
      <c r="K283" s="13" t="inlineStr">
        <is>
          <t>CAAR/Del/Shreedhra/07/2022</t>
        </is>
      </c>
      <c r="L283" s="14" t="inlineStr">
        <is>
          <t>https://www.cbic.gov.in/content/pdf/CONTENTREPO/CAAR/Shreedhra-Agro-LLP-23062022.pdf</t>
        </is>
      </c>
      <c r="M283" s="13" t="inlineStr">
        <is>
          <t>YES</t>
        </is>
      </c>
    </row>
    <row r="284">
      <c r="A284" s="13" t="inlineStr">
        <is>
          <t>Delhi Rulings</t>
        </is>
      </c>
      <c r="B284" s="13" t="inlineStr">
        <is>
          <t>28</t>
        </is>
      </c>
      <c r="C284" s="13" t="inlineStr">
        <is>
          <t>280</t>
        </is>
      </c>
      <c r="D284" s="13" t="inlineStr">
        <is>
          <t>M/s Nuttish Exim India Pvt Ltd</t>
        </is>
      </c>
      <c r="E284" s="13" t="inlineStr">
        <is>
          <t>15.04.2021</t>
        </is>
      </c>
      <c r="F284" s="13" t="inlineStr">
        <is>
          <t>02.05.2022</t>
        </is>
      </c>
      <c r="G284" s="13" t="inlineStr">
        <is>
          <t>2022</t>
        </is>
      </c>
      <c r="H284" s="13" t="inlineStr">
        <is>
          <t>Rulings is being kept confidential in accordance with the ruling issued by the authority</t>
        </is>
      </c>
      <c r="I284" s="13" t="inlineStr">
        <is>
          <t>Procedural</t>
        </is>
      </c>
      <c r="J284" s="13" t="inlineStr">
        <is>
          <t>explicit</t>
        </is>
      </c>
      <c r="K284" s="13" t="inlineStr">
        <is>
          <t>CAAR/Del/Nuttish/06/2022</t>
        </is>
      </c>
      <c r="L284" s="14" t="inlineStr">
        <is>
          <t>https://www.cbic.gov.in/content/pdf/CONTENTREPO/CAAR/Nuttish-15052023.pdf</t>
        </is>
      </c>
      <c r="M284" s="13" t="inlineStr">
        <is>
          <t>YES</t>
        </is>
      </c>
    </row>
    <row r="285">
      <c r="A285" s="13" t="inlineStr">
        <is>
          <t>Delhi Rulings</t>
        </is>
      </c>
      <c r="B285" s="13" t="inlineStr">
        <is>
          <t>29</t>
        </is>
      </c>
      <c r="C285" s="13" t="inlineStr">
        <is>
          <t>281</t>
        </is>
      </c>
      <c r="D285" s="13" t="inlineStr">
        <is>
          <t>M/s Sharp Business System (India) Pvt Ltd</t>
        </is>
      </c>
      <c r="E285" s="13" t="inlineStr">
        <is>
          <t>08.10.2021</t>
        </is>
      </c>
      <c r="F285" s="13" t="inlineStr">
        <is>
          <t>19.04.2022</t>
        </is>
      </c>
      <c r="G285" s="13" t="inlineStr">
        <is>
          <t>2022</t>
        </is>
      </c>
      <c r="H285" s="13" t="inlineStr">
        <is>
          <t>Classification of LCD monitors and applicability of Notification.</t>
        </is>
      </c>
      <c r="I285" s="13" t="inlineStr">
        <is>
          <t>Exemption</t>
        </is>
      </c>
      <c r="J285" s="13" t="inlineStr">
        <is>
          <t>explicit</t>
        </is>
      </c>
      <c r="K285" s="13" t="inlineStr">
        <is>
          <t>CAAR/Del/Sharp/05/2022</t>
        </is>
      </c>
      <c r="L285" s="14" t="inlineStr">
        <is>
          <t>https://www.cbic.gov.in/content/pdf/CONTENTREPO/CAAR/sharp-business-system.pdf</t>
        </is>
      </c>
      <c r="M285" s="13" t="inlineStr">
        <is>
          <t>YES</t>
        </is>
      </c>
    </row>
    <row r="286">
      <c r="A286" s="13" t="inlineStr">
        <is>
          <t>Delhi Rulings</t>
        </is>
      </c>
      <c r="B286" s="13" t="inlineStr">
        <is>
          <t>29</t>
        </is>
      </c>
      <c r="C286" s="13" t="inlineStr">
        <is>
          <t>282</t>
        </is>
      </c>
      <c r="D286" s="13" t="inlineStr">
        <is>
          <t>M/s Harmony Plastics Pvt Ltd</t>
        </is>
      </c>
      <c r="E286" s="13" t="inlineStr">
        <is>
          <t>09.04.2021</t>
        </is>
      </c>
      <c r="F286" s="13" t="inlineStr">
        <is>
          <t>31.01.2022</t>
        </is>
      </c>
      <c r="G286" s="13" t="inlineStr">
        <is>
          <t>2022</t>
        </is>
      </c>
      <c r="H286" s="13" t="inlineStr">
        <is>
          <t>Classification of HDPE woven fabric un-laminated/laminated</t>
        </is>
      </c>
      <c r="I286" s="13" t="inlineStr">
        <is>
          <t>Classification</t>
        </is>
      </c>
      <c r="J286" s="13" t="inlineStr">
        <is>
          <t>explicit</t>
        </is>
      </c>
      <c r="K286" s="13" t="inlineStr">
        <is>
          <t>CAAR/Del/Harmony/04/2022</t>
        </is>
      </c>
      <c r="L286" s="14" t="inlineStr">
        <is>
          <t>https://www.cbic.gov.in/content/pdf/CONTENTREPO/CAAR/Harmony Plastics Pvt Ltd rulings no 4.pdf</t>
        </is>
      </c>
      <c r="M286" s="13" t="inlineStr">
        <is>
          <t>YES</t>
        </is>
      </c>
    </row>
    <row r="287">
      <c r="A287" s="13" t="inlineStr">
        <is>
          <t>Delhi Rulings</t>
        </is>
      </c>
      <c r="B287" s="13" t="inlineStr">
        <is>
          <t>29</t>
        </is>
      </c>
      <c r="C287" s="13" t="inlineStr">
        <is>
          <t>283</t>
        </is>
      </c>
      <c r="D287" s="13" t="inlineStr">
        <is>
          <t>M/s Amazon Wholesale India Pvt Ltd</t>
        </is>
      </c>
      <c r="E287" s="13" t="inlineStr">
        <is>
          <t>10.09.2021</t>
        </is>
      </c>
      <c r="F287" s="13" t="inlineStr">
        <is>
          <t>27.01.2022</t>
        </is>
      </c>
      <c r="G287" s="13" t="inlineStr">
        <is>
          <t>2022</t>
        </is>
      </c>
      <c r="H287" s="13" t="inlineStr">
        <is>
          <t>Classification of Fire TV Stick 4K Max</t>
        </is>
      </c>
      <c r="I287" s="13" t="inlineStr">
        <is>
          <t>Classification</t>
        </is>
      </c>
      <c r="J287" s="13" t="inlineStr">
        <is>
          <t>explicit</t>
        </is>
      </c>
      <c r="K287" s="13" t="inlineStr">
        <is>
          <t>CAAR/Del/Amazon/03/2022</t>
        </is>
      </c>
      <c r="L287" s="14" t="inlineStr">
        <is>
          <t>https://www.cbic.gov.in/content/pdf/CONTENTREPO/CAAR/Ruling No. Amazon 47.pdf</t>
        </is>
      </c>
      <c r="M287" s="13" t="inlineStr">
        <is>
          <t>YES</t>
        </is>
      </c>
    </row>
    <row r="288">
      <c r="A288" s="13" t="inlineStr">
        <is>
          <t>Delhi Rulings</t>
        </is>
      </c>
      <c r="B288" s="13" t="inlineStr">
        <is>
          <t>29</t>
        </is>
      </c>
      <c r="C288" s="13" t="inlineStr">
        <is>
          <t>284</t>
        </is>
      </c>
      <c r="D288" s="13" t="inlineStr">
        <is>
          <t>M/s Evans Consoles Corporation</t>
        </is>
      </c>
      <c r="E288" s="13" t="inlineStr">
        <is>
          <t>21.07.2021</t>
        </is>
      </c>
      <c r="F288" s="13" t="inlineStr">
        <is>
          <t>13.01.2022</t>
        </is>
      </c>
      <c r="G288" s="13" t="inlineStr">
        <is>
          <t>2022</t>
        </is>
      </c>
      <c r="H288" s="13" t="inlineStr">
        <is>
          <t>Classification of consoles</t>
        </is>
      </c>
      <c r="I288" s="13" t="inlineStr">
        <is>
          <t>Classification</t>
        </is>
      </c>
      <c r="J288" s="13" t="inlineStr">
        <is>
          <t>explicit</t>
        </is>
      </c>
      <c r="K288" s="13" t="inlineStr">
        <is>
          <t>CAAR/Del/Evans/02/2022</t>
        </is>
      </c>
      <c r="L288" s="14" t="inlineStr">
        <is>
          <t>https://www.cbic.gov.in/content/pdf/CONTENTREPO/CAAR/Ruling Evans Consoles.pdf</t>
        </is>
      </c>
      <c r="M288" s="13" t="inlineStr">
        <is>
          <t>YES</t>
        </is>
      </c>
    </row>
    <row r="289">
      <c r="A289" s="13" t="inlineStr">
        <is>
          <t>Delhi Rulings</t>
        </is>
      </c>
      <c r="B289" s="13" t="inlineStr">
        <is>
          <t>29</t>
        </is>
      </c>
      <c r="C289" s="13" t="inlineStr">
        <is>
          <t>285</t>
        </is>
      </c>
      <c r="D289" s="13" t="inlineStr">
        <is>
          <t>M/s G.G. Enterprises</t>
        </is>
      </c>
      <c r="E289" s="13" t="inlineStr">
        <is>
          <t>03.07.2021</t>
        </is>
      </c>
      <c r="F289" s="13" t="inlineStr">
        <is>
          <t>10.01.2022</t>
        </is>
      </c>
      <c r="G289" s="13" t="inlineStr">
        <is>
          <t>2022</t>
        </is>
      </c>
      <c r="H289" s="13" t="inlineStr">
        <is>
          <t>Classification of parts of electronic toy cars</t>
        </is>
      </c>
      <c r="I289" s="13" t="inlineStr">
        <is>
          <t>Classification</t>
        </is>
      </c>
      <c r="J289" s="13" t="inlineStr">
        <is>
          <t>explicit</t>
        </is>
      </c>
      <c r="K289" s="13" t="inlineStr">
        <is>
          <t>CAAR/Del/G.G. Enterprises/01/2022</t>
        </is>
      </c>
      <c r="L289" s="14" t="inlineStr">
        <is>
          <t>https://www.cbic.gov.in/content/pdf/CONTENTREPO/CAAR/GG Enterprises-2022.pdf</t>
        </is>
      </c>
      <c r="M289" s="13" t="inlineStr">
        <is>
          <t>YES</t>
        </is>
      </c>
    </row>
    <row r="290">
      <c r="A290" s="13" t="inlineStr">
        <is>
          <t>Delhi Rulings</t>
        </is>
      </c>
      <c r="B290" s="13" t="inlineStr">
        <is>
          <t>29</t>
        </is>
      </c>
      <c r="C290" s="13" t="inlineStr">
        <is>
          <t>286</t>
        </is>
      </c>
      <c r="D290" s="13" t="inlineStr">
        <is>
          <t>M/s UBS Exports International Pvt Ltd</t>
        </is>
      </c>
      <c r="E290" s="13" t="inlineStr">
        <is>
          <t>09.09.2021</t>
        </is>
      </c>
      <c r="F290" s="13" t="inlineStr">
        <is>
          <t>20.12.2021</t>
        </is>
      </c>
      <c r="G290" s="13" t="inlineStr">
        <is>
          <t>2021</t>
        </is>
      </c>
      <c r="H290" s="13" t="inlineStr">
        <is>
          <t>Classification of Betel Nut</t>
        </is>
      </c>
      <c r="I290" s="13" t="inlineStr">
        <is>
          <t>Classification</t>
        </is>
      </c>
      <c r="J290" s="13" t="inlineStr">
        <is>
          <t>explicit</t>
        </is>
      </c>
      <c r="K290" s="13" t="inlineStr">
        <is>
          <t>CAAR/Del/UBS Exports/23/2021</t>
        </is>
      </c>
      <c r="L290" s="14" t="inlineStr">
        <is>
          <t>https://www.cbic.gov.in/content/pdf/CONTENTREPO/CAAR/UBS Exports Ruling.pdf</t>
        </is>
      </c>
      <c r="M290" s="13" t="inlineStr">
        <is>
          <t>YES</t>
        </is>
      </c>
    </row>
    <row r="291">
      <c r="A291" s="13" t="inlineStr">
        <is>
          <t>Delhi Rulings</t>
        </is>
      </c>
      <c r="B291" s="13" t="inlineStr">
        <is>
          <t>29</t>
        </is>
      </c>
      <c r="C291" s="13" t="inlineStr">
        <is>
          <t>287</t>
        </is>
      </c>
      <c r="D291" s="13" t="inlineStr">
        <is>
          <t>M/s P.G. International</t>
        </is>
      </c>
      <c r="E291" s="13" t="inlineStr">
        <is>
          <t>29.07.2021</t>
        </is>
      </c>
      <c r="F291" s="13" t="inlineStr">
        <is>
          <t>26.11.2021</t>
        </is>
      </c>
      <c r="G291" s="13" t="inlineStr">
        <is>
          <t>2021</t>
        </is>
      </c>
      <c r="H291" s="13" t="inlineStr">
        <is>
          <t>Classification of Betel Nut</t>
        </is>
      </c>
      <c r="I291" s="13" t="inlineStr">
        <is>
          <t>Classification</t>
        </is>
      </c>
      <c r="J291" s="13" t="inlineStr">
        <is>
          <t>explicit</t>
        </is>
      </c>
      <c r="K291" s="13" t="inlineStr">
        <is>
          <t>CAAR/Del/PG International/22/2021</t>
        </is>
      </c>
      <c r="L291" s="14" t="inlineStr">
        <is>
          <t>https://www.cbic.gov.in/content/pdf/CONTENTREPO/CAAR/Rulling_No_22.PG_International.pdf</t>
        </is>
      </c>
      <c r="M291" s="13" t="inlineStr">
        <is>
          <t>YES</t>
        </is>
      </c>
    </row>
    <row r="292">
      <c r="A292" s="13" t="inlineStr">
        <is>
          <t>Delhi Rulings</t>
        </is>
      </c>
      <c r="B292" s="13" t="inlineStr">
        <is>
          <t>29</t>
        </is>
      </c>
      <c r="C292" s="13" t="inlineStr">
        <is>
          <t>288</t>
        </is>
      </c>
      <c r="D292" s="13" t="inlineStr">
        <is>
          <t>M/s Vaibhav Enterprises</t>
        </is>
      </c>
      <c r="E292" s="13" t="inlineStr">
        <is>
          <t>29.07.2021</t>
        </is>
      </c>
      <c r="F292" s="13" t="inlineStr">
        <is>
          <t>21.10.2021</t>
        </is>
      </c>
      <c r="G292" s="13" t="inlineStr">
        <is>
          <t>2021</t>
        </is>
      </c>
      <c r="H292" s="13" t="inlineStr">
        <is>
          <t>Classification of Betel Nut</t>
        </is>
      </c>
      <c r="I292" s="13" t="inlineStr">
        <is>
          <t>Classification</t>
        </is>
      </c>
      <c r="J292" s="13" t="inlineStr">
        <is>
          <t>explicit</t>
        </is>
      </c>
      <c r="K292" s="13" t="inlineStr">
        <is>
          <t>CAAR/Del/Vaibhav/21/2021</t>
        </is>
      </c>
      <c r="L292" s="14" t="inlineStr">
        <is>
          <t>https://www.cbic.gov.in/content/pdf/CONTENTREPO/CAAR/VaibhavRulings.pdf</t>
        </is>
      </c>
      <c r="M292" s="13" t="inlineStr">
        <is>
          <t>YES</t>
        </is>
      </c>
    </row>
    <row r="293">
      <c r="A293" s="13" t="inlineStr">
        <is>
          <t>Delhi Rulings</t>
        </is>
      </c>
      <c r="B293" s="13" t="inlineStr">
        <is>
          <t>29</t>
        </is>
      </c>
      <c r="C293" s="13" t="inlineStr">
        <is>
          <t>289</t>
        </is>
      </c>
      <c r="D293" s="13" t="inlineStr">
        <is>
          <t>M/s Spraytec India Ltd</t>
        </is>
      </c>
      <c r="E293" s="13" t="inlineStr">
        <is>
          <t>09-07-2020</t>
        </is>
      </c>
      <c r="F293" s="13" t="inlineStr">
        <is>
          <t>05.10.2021</t>
        </is>
      </c>
      <c r="G293" s="13" t="inlineStr">
        <is>
          <t>2021</t>
        </is>
      </c>
      <c r="H293" s="13" t="inlineStr">
        <is>
          <t>Classification of Aaerosol Valve</t>
        </is>
      </c>
      <c r="I293" s="13" t="inlineStr">
        <is>
          <t>Classification</t>
        </is>
      </c>
      <c r="J293" s="13" t="inlineStr">
        <is>
          <t>explicit</t>
        </is>
      </c>
      <c r="K293" s="13" t="inlineStr">
        <is>
          <t>CAAR/Del/Spraytec/20/2021</t>
        </is>
      </c>
      <c r="L293" s="14" t="inlineStr">
        <is>
          <t>https://www.cbic.gov.in/content/pdf/CONTENTREPO/CAAR/spraytec Rulings.pdf</t>
        </is>
      </c>
      <c r="M293" s="13" t="inlineStr">
        <is>
          <t>YES</t>
        </is>
      </c>
    </row>
    <row r="294">
      <c r="A294" s="13" t="inlineStr">
        <is>
          <t>Delhi Rulings</t>
        </is>
      </c>
      <c r="B294" s="13" t="inlineStr">
        <is>
          <t>29</t>
        </is>
      </c>
      <c r="C294" s="13" t="inlineStr">
        <is>
          <t>290</t>
        </is>
      </c>
      <c r="D294" s="13" t="inlineStr">
        <is>
          <t>M/s Volvo Auto India Pvt. Ltd</t>
        </is>
      </c>
      <c r="E294" s="13" t="inlineStr">
        <is>
          <t>14.05.2021</t>
        </is>
      </c>
      <c r="F294" s="13" t="inlineStr">
        <is>
          <t>10.09.2021</t>
        </is>
      </c>
      <c r="G294" s="13" t="inlineStr">
        <is>
          <t>2021</t>
        </is>
      </c>
      <c r="H294" s="13" t="inlineStr">
        <is>
          <t>Classification of imported CKD kits</t>
        </is>
      </c>
      <c r="I294" s="13" t="inlineStr">
        <is>
          <t>Classification</t>
        </is>
      </c>
      <c r="J294" s="13" t="inlineStr">
        <is>
          <t>explicit</t>
        </is>
      </c>
      <c r="K294" s="13" t="inlineStr">
        <is>
          <t>CAAR/Del/Volvo/19/2021</t>
        </is>
      </c>
      <c r="L294" s="14" t="inlineStr">
        <is>
          <t>https://www.cbic.gov.in/content/pdf/CONTENTREPO/CAAR/valvo orders.pdf</t>
        </is>
      </c>
      <c r="M294" s="13" t="inlineStr">
        <is>
          <t>YES</t>
        </is>
      </c>
    </row>
    <row r="295">
      <c r="A295" s="13" t="inlineStr">
        <is>
          <t>Delhi Rulings</t>
        </is>
      </c>
      <c r="B295" s="13" t="inlineStr">
        <is>
          <t>30</t>
        </is>
      </c>
      <c r="C295" s="13" t="inlineStr">
        <is>
          <t>291</t>
        </is>
      </c>
      <c r="D295" s="13" t="inlineStr">
        <is>
          <t>M/s Amazon Wholsale India Private Limited</t>
        </is>
      </c>
      <c r="E295" s="13" t="inlineStr">
        <is>
          <t>12.03.2021</t>
        </is>
      </c>
      <c r="F295" s="13" t="inlineStr">
        <is>
          <t>10.08.2021</t>
        </is>
      </c>
      <c r="G295" s="13" t="inlineStr">
        <is>
          <t>2021</t>
        </is>
      </c>
      <c r="H295" s="13" t="inlineStr">
        <is>
          <t>Classification of Fire TV Cube and IR Extender Cable.</t>
        </is>
      </c>
      <c r="I295" s="13" t="inlineStr">
        <is>
          <t>Classification</t>
        </is>
      </c>
      <c r="J295" s="13" t="inlineStr">
        <is>
          <t>explicit</t>
        </is>
      </c>
      <c r="K295" s="13" t="inlineStr">
        <is>
          <t>CAAR/Del/Amazon/18/2021</t>
        </is>
      </c>
      <c r="L295" s="14" t="inlineStr">
        <is>
          <t>https://www.cbic.gov.in/content/pdf/CONTENTREPO/CAAR/CPIO-CAA-270821.pdf</t>
        </is>
      </c>
      <c r="M295" s="13" t="inlineStr">
        <is>
          <t>YES</t>
        </is>
      </c>
    </row>
    <row r="296">
      <c r="A296" s="13" t="inlineStr">
        <is>
          <t>Delhi Rulings</t>
        </is>
      </c>
      <c r="B296" s="13" t="inlineStr">
        <is>
          <t>30</t>
        </is>
      </c>
      <c r="C296" s="13" t="inlineStr">
        <is>
          <t>292</t>
        </is>
      </c>
      <c r="D296" s="13" t="inlineStr">
        <is>
          <t>M/s Amazon Wholesale India Private Limited</t>
        </is>
      </c>
      <c r="E296" s="13" t="inlineStr">
        <is>
          <t>12.03.2021</t>
        </is>
      </c>
      <c r="F296" s="13" t="inlineStr">
        <is>
          <t>20.07.2021</t>
        </is>
      </c>
      <c r="G296" s="13" t="inlineStr">
        <is>
          <t>2021</t>
        </is>
      </c>
      <c r="H296" s="13" t="inlineStr">
        <is>
          <t>Classification of Echo Family Devices and applicability of notification.</t>
        </is>
      </c>
      <c r="I296" s="13" t="inlineStr">
        <is>
          <t>Exemption</t>
        </is>
      </c>
      <c r="J296" s="13" t="inlineStr">
        <is>
          <t>explicit</t>
        </is>
      </c>
      <c r="K296" s="13" t="inlineStr">
        <is>
          <t>CAAR/Del/Amazon/17/2021</t>
        </is>
      </c>
      <c r="L296" s="14" t="inlineStr">
        <is>
          <t>https://www.cbic.gov.in/content/pdf/CONTENTREPO/CAAR/Ruling Amazon 17 of 2021 (1).pdf</t>
        </is>
      </c>
      <c r="M296" s="13" t="inlineStr">
        <is>
          <t>YES</t>
        </is>
      </c>
    </row>
    <row r="297">
      <c r="A297" s="13" t="inlineStr">
        <is>
          <t>Delhi Rulings</t>
        </is>
      </c>
      <c r="B297" s="13" t="inlineStr">
        <is>
          <t>30</t>
        </is>
      </c>
      <c r="C297" s="13" t="inlineStr">
        <is>
          <t>293</t>
        </is>
      </c>
      <c r="D297" s="13" t="inlineStr">
        <is>
          <t>M/s Exor Overseas</t>
        </is>
      </c>
      <c r="E297" s="13" t="inlineStr">
        <is>
          <t>19.04.2021</t>
        </is>
      </c>
      <c r="F297" s="13" t="inlineStr">
        <is>
          <t>16.07.2021</t>
        </is>
      </c>
      <c r="G297" s="13" t="inlineStr">
        <is>
          <t>2021</t>
        </is>
      </c>
      <c r="H297" s="13" t="inlineStr">
        <is>
          <t>Classification of Betel Nut</t>
        </is>
      </c>
      <c r="I297" s="13" t="inlineStr">
        <is>
          <t>Classification</t>
        </is>
      </c>
      <c r="J297" s="13" t="inlineStr">
        <is>
          <t>explicit</t>
        </is>
      </c>
      <c r="K297" s="13" t="inlineStr">
        <is>
          <t>CAAR/Del/Exor/16/2021</t>
        </is>
      </c>
      <c r="L297" s="14" t="inlineStr">
        <is>
          <t>https://www.cbic.gov.in/content/pdf/CONTENTREPO/CAAR/EXOR Ruling.pdf</t>
        </is>
      </c>
      <c r="M297" s="13" t="inlineStr">
        <is>
          <t>YES</t>
        </is>
      </c>
    </row>
    <row r="298">
      <c r="A298" s="13" t="inlineStr">
        <is>
          <t>Delhi Rulings</t>
        </is>
      </c>
      <c r="B298" s="13" t="inlineStr">
        <is>
          <t>30</t>
        </is>
      </c>
      <c r="C298" s="13" t="inlineStr">
        <is>
          <t>294</t>
        </is>
      </c>
      <c r="D298" s="13" t="inlineStr">
        <is>
          <t>M/s Amazon Wholesale India Pvt. Ltd.</t>
        </is>
      </c>
      <c r="E298" s="13" t="inlineStr">
        <is>
          <t>12.03.2021</t>
        </is>
      </c>
      <c r="F298" s="13" t="inlineStr">
        <is>
          <t>05.07.2021</t>
        </is>
      </c>
      <c r="G298" s="13" t="inlineStr">
        <is>
          <t>2021</t>
        </is>
      </c>
      <c r="H298" s="13" t="inlineStr">
        <is>
          <t>Classification of Fire TV Stick (Lite 1st Gen/3rd Gen) and Alexa Voice Remote (1st Gen/2nd Gen).</t>
        </is>
      </c>
      <c r="I298" s="13" t="inlineStr">
        <is>
          <t>Classification</t>
        </is>
      </c>
      <c r="J298" s="13" t="inlineStr">
        <is>
          <t>explicit</t>
        </is>
      </c>
      <c r="K298" s="13" t="inlineStr">
        <is>
          <t>CAAR/Del/Amazon/15/2021</t>
        </is>
      </c>
      <c r="L298" s="14" t="inlineStr">
        <is>
          <t>https://www.cbic.gov.in/content/pdf/CONTENTREPO/CAAR/R15.pdf</t>
        </is>
      </c>
      <c r="M298" s="13" t="inlineStr">
        <is>
          <t>YES</t>
        </is>
      </c>
    </row>
    <row r="299">
      <c r="A299" s="13" t="inlineStr">
        <is>
          <t>Delhi Rulings</t>
        </is>
      </c>
      <c r="B299" s="13" t="inlineStr">
        <is>
          <t>30</t>
        </is>
      </c>
      <c r="C299" s="13" t="inlineStr">
        <is>
          <t>295</t>
        </is>
      </c>
      <c r="D299" s="13" t="inlineStr">
        <is>
          <t>M/s Amazon Wholesale India Pvt. Ltd.</t>
        </is>
      </c>
      <c r="E299" s="13" t="inlineStr">
        <is>
          <t>12.03.2021</t>
        </is>
      </c>
      <c r="F299" s="13" t="inlineStr">
        <is>
          <t>28.06.2021</t>
        </is>
      </c>
      <c r="G299" s="13" t="inlineStr">
        <is>
          <t>2021</t>
        </is>
      </c>
      <c r="H299" s="13" t="inlineStr">
        <is>
          <t>Classification of Alexa voice remote (3rd Gen) &amp; applicability of Notification</t>
        </is>
      </c>
      <c r="I299" s="13" t="inlineStr">
        <is>
          <t>Exemption</t>
        </is>
      </c>
      <c r="J299" s="13" t="inlineStr">
        <is>
          <t>explicit</t>
        </is>
      </c>
      <c r="K299" s="13" t="inlineStr">
        <is>
          <t>CAAR/Del/Amazon/14/2021</t>
        </is>
      </c>
      <c r="L299" s="14" t="inlineStr">
        <is>
          <t>https://www.cbic.gov.in/content/pdf/CONTENTREPO/CAAR/R14.pdf</t>
        </is>
      </c>
      <c r="M299" s="13" t="inlineStr">
        <is>
          <t>YES</t>
        </is>
      </c>
    </row>
    <row r="300">
      <c r="A300" s="13" t="inlineStr">
        <is>
          <t>Delhi Rulings</t>
        </is>
      </c>
      <c r="B300" s="13" t="inlineStr">
        <is>
          <t>30</t>
        </is>
      </c>
      <c r="C300" s="13" t="inlineStr">
        <is>
          <t>296</t>
        </is>
      </c>
      <c r="D300" s="13" t="inlineStr">
        <is>
          <t>M/s Amazon Wholesale India Pvt. Ltd.</t>
        </is>
      </c>
      <c r="E300" s="13" t="inlineStr">
        <is>
          <t>12.03.2021</t>
        </is>
      </c>
      <c r="F300" s="13" t="inlineStr">
        <is>
          <t>24.06.2021</t>
        </is>
      </c>
      <c r="G300" s="13" t="inlineStr">
        <is>
          <t>2021</t>
        </is>
      </c>
      <c r="H300" s="13" t="inlineStr">
        <is>
          <t>Classification of Smart Plug &amp; applicability of Notification and classification of Wireless Speaker</t>
        </is>
      </c>
      <c r="I300" s="13" t="inlineStr">
        <is>
          <t>Exemption</t>
        </is>
      </c>
      <c r="J300" s="13" t="inlineStr">
        <is>
          <t>explicit</t>
        </is>
      </c>
      <c r="K300" s="13" t="inlineStr">
        <is>
          <t>CAAR/Del/Amazon/13/2021</t>
        </is>
      </c>
      <c r="L300" s="14" t="inlineStr">
        <is>
          <t>https://www.cbic.gov.in/content/pdf/CONTENTREPO/CAAR/R13.pdf</t>
        </is>
      </c>
      <c r="M300" s="13" t="inlineStr">
        <is>
          <t>YES</t>
        </is>
      </c>
    </row>
    <row r="301">
      <c r="A301" s="13" t="inlineStr">
        <is>
          <t>Delhi Rulings</t>
        </is>
      </c>
      <c r="B301" s="13" t="inlineStr">
        <is>
          <t>30</t>
        </is>
      </c>
      <c r="C301" s="13" t="inlineStr">
        <is>
          <t>297</t>
        </is>
      </c>
      <c r="D301" s="13" t="inlineStr">
        <is>
          <t>M/s Shri Tirupati Balaji Overseas</t>
        </is>
      </c>
      <c r="E301" s="13" t="inlineStr">
        <is>
          <t>15.03.2021</t>
        </is>
      </c>
      <c r="F301" s="13" t="inlineStr">
        <is>
          <t>14.06.2021</t>
        </is>
      </c>
      <c r="G301" s="13" t="inlineStr">
        <is>
          <t>2021</t>
        </is>
      </c>
      <c r="H301" s="13" t="inlineStr">
        <is>
          <t>Classification of Betel Nut</t>
        </is>
      </c>
      <c r="I301" s="13" t="inlineStr">
        <is>
          <t>Classification</t>
        </is>
      </c>
      <c r="J301" s="13" t="inlineStr">
        <is>
          <t>explicit</t>
        </is>
      </c>
      <c r="K301" s="13" t="inlineStr">
        <is>
          <t>CAAR/Del/Tirupati/12/2021</t>
        </is>
      </c>
      <c r="L301" s="14" t="inlineStr">
        <is>
          <t>https://www.cbic.gov.in/content/pdf/CONTENTREPO/CAAR/R12.pdf</t>
        </is>
      </c>
      <c r="M301" s="13" t="inlineStr">
        <is>
          <t>YES</t>
        </is>
      </c>
    </row>
    <row r="302">
      <c r="A302" s="13" t="inlineStr">
        <is>
          <t>Delhi Rulings</t>
        </is>
      </c>
      <c r="B302" s="13" t="inlineStr">
        <is>
          <t>30</t>
        </is>
      </c>
      <c r="C302" s="13" t="inlineStr">
        <is>
          <t>298</t>
        </is>
      </c>
      <c r="D302" s="13" t="inlineStr">
        <is>
          <t>M/s Sarveshwari Industries</t>
        </is>
      </c>
      <c r="E302" s="13" t="inlineStr">
        <is>
          <t>10.03.2021</t>
        </is>
      </c>
      <c r="F302" s="13" t="inlineStr">
        <is>
          <t>04.06.2021</t>
        </is>
      </c>
      <c r="G302" s="13" t="inlineStr">
        <is>
          <t>2021</t>
        </is>
      </c>
      <c r="H302" s="13" t="inlineStr">
        <is>
          <t>Classification of Betel Nut</t>
        </is>
      </c>
      <c r="I302" s="13" t="inlineStr">
        <is>
          <t>Classification</t>
        </is>
      </c>
      <c r="J302" s="13" t="inlineStr">
        <is>
          <t>explicit</t>
        </is>
      </c>
      <c r="K302" s="13" t="inlineStr">
        <is>
          <t>CAAR/Del/Sarveshwari/11/2021</t>
        </is>
      </c>
      <c r="L302" s="14" t="inlineStr">
        <is>
          <t>https://www.cbic.gov.in/content/pdf/CONTENTREPO/CAAR/R11.pdf</t>
        </is>
      </c>
      <c r="M302" s="13" t="inlineStr">
        <is>
          <t>YES</t>
        </is>
      </c>
    </row>
    <row r="303">
      <c r="A303" s="13" t="inlineStr">
        <is>
          <t>Delhi Rulings</t>
        </is>
      </c>
      <c r="B303" s="13" t="inlineStr">
        <is>
          <t>30</t>
        </is>
      </c>
      <c r="C303" s="13" t="inlineStr">
        <is>
          <t>299</t>
        </is>
      </c>
      <c r="D303" s="13" t="inlineStr">
        <is>
          <t>M/s The NUT Co.</t>
        </is>
      </c>
      <c r="E303" s="13" t="inlineStr">
        <is>
          <t>05.03.2021</t>
        </is>
      </c>
      <c r="F303" s="13" t="inlineStr">
        <is>
          <t>04.06.2021</t>
        </is>
      </c>
      <c r="G303" s="13" t="inlineStr">
        <is>
          <t>2021</t>
        </is>
      </c>
      <c r="H303" s="13" t="inlineStr">
        <is>
          <t>Classification of Betel Nut</t>
        </is>
      </c>
      <c r="I303" s="13" t="inlineStr">
        <is>
          <t>Classification</t>
        </is>
      </c>
      <c r="J303" s="13" t="inlineStr">
        <is>
          <t>explicit</t>
        </is>
      </c>
      <c r="K303" s="13" t="inlineStr">
        <is>
          <t>CAAR/Del/The Nut/10/2021</t>
        </is>
      </c>
      <c r="L303" s="14" t="inlineStr">
        <is>
          <t>https://www.cbic.gov.in/content/pdf/CONTENTREPO/CAAR/R10.pdf</t>
        </is>
      </c>
      <c r="M303" s="13" t="inlineStr">
        <is>
          <t>YES</t>
        </is>
      </c>
    </row>
    <row r="304">
      <c r="A304" s="13" t="inlineStr">
        <is>
          <t>Delhi Rulings</t>
        </is>
      </c>
      <c r="B304" s="13" t="inlineStr">
        <is>
          <t>30</t>
        </is>
      </c>
      <c r="C304" s="13" t="inlineStr">
        <is>
          <t>300</t>
        </is>
      </c>
      <c r="D304" s="13" t="inlineStr">
        <is>
          <t>M/s Naman Agri Impex Pvt. Ltd.</t>
        </is>
      </c>
      <c r="E304" s="13" t="inlineStr">
        <is>
          <t>01.03.2021</t>
        </is>
      </c>
      <c r="F304" s="13" t="inlineStr">
        <is>
          <t>31.05.2021</t>
        </is>
      </c>
      <c r="G304" s="13" t="inlineStr">
        <is>
          <t>2021</t>
        </is>
      </c>
      <c r="H304" s="13" t="inlineStr">
        <is>
          <t>Classification of Betel Nut</t>
        </is>
      </c>
      <c r="I304" s="13" t="inlineStr">
        <is>
          <t>Classification</t>
        </is>
      </c>
      <c r="J304" s="13" t="inlineStr">
        <is>
          <t>explicit</t>
        </is>
      </c>
      <c r="K304" s="13" t="inlineStr">
        <is>
          <t>CAAR/Del/Naman Agri/09/2021</t>
        </is>
      </c>
      <c r="L304" s="14" t="inlineStr">
        <is>
          <t>https://www.cbic.gov.in/content/pdf/CONTENTREPO/CAAR/Naman_Agri_Ruling_No_09.pdf</t>
        </is>
      </c>
      <c r="M304" s="13" t="inlineStr">
        <is>
          <t>YES</t>
        </is>
      </c>
    </row>
    <row r="305">
      <c r="A305" s="13" t="inlineStr">
        <is>
          <t>Delhi Rulings</t>
        </is>
      </c>
      <c r="B305" s="13" t="inlineStr">
        <is>
          <t>31</t>
        </is>
      </c>
      <c r="C305" s="13" t="inlineStr">
        <is>
          <t>301</t>
        </is>
      </c>
      <c r="D305" s="13" t="inlineStr">
        <is>
          <t>M/s Inspiration Idea Innovation &amp; Productions Pvt. Ltd.</t>
        </is>
      </c>
      <c r="E305" s="13" t="inlineStr">
        <is>
          <t>01.03.2021</t>
        </is>
      </c>
      <c r="F305" s="13" t="inlineStr">
        <is>
          <t>31.05.2021</t>
        </is>
      </c>
      <c r="G305" s="13" t="inlineStr">
        <is>
          <t>2021</t>
        </is>
      </c>
      <c r="H305" s="13" t="inlineStr">
        <is>
          <t>Classification of Preparation of essential oil</t>
        </is>
      </c>
      <c r="I305" s="13" t="inlineStr">
        <is>
          <t>Classification</t>
        </is>
      </c>
      <c r="J305" s="13" t="inlineStr">
        <is>
          <t>explicit</t>
        </is>
      </c>
      <c r="K305" s="13" t="inlineStr">
        <is>
          <t>CAAR/Del/Inspiration/08/2021</t>
        </is>
      </c>
      <c r="L305" s="14" t="inlineStr">
        <is>
          <t>https://www.cbic.gov.in/content/pdf/CONTENTREPO/CAAR/Inspiration_Idea_Ruling_No_08.pdf</t>
        </is>
      </c>
      <c r="M305" s="13" t="inlineStr">
        <is>
          <t>YES</t>
        </is>
      </c>
    </row>
    <row r="306">
      <c r="A306" s="13" t="inlineStr">
        <is>
          <t>Delhi Rulings</t>
        </is>
      </c>
      <c r="B306" s="13" t="inlineStr">
        <is>
          <t>31</t>
        </is>
      </c>
      <c r="C306" s="13" t="inlineStr">
        <is>
          <t>302</t>
        </is>
      </c>
      <c r="D306" s="13" t="inlineStr">
        <is>
          <t>M/s Morchhadi Traders</t>
        </is>
      </c>
      <c r="E306" s="13" t="inlineStr">
        <is>
          <t>01.03.2021</t>
        </is>
      </c>
      <c r="F306" s="13" t="inlineStr">
        <is>
          <t>31.05.2021</t>
        </is>
      </c>
      <c r="G306" s="13" t="inlineStr">
        <is>
          <t>2021</t>
        </is>
      </c>
      <c r="H306" s="13" t="inlineStr">
        <is>
          <t>Classification of Betel Nut</t>
        </is>
      </c>
      <c r="I306" s="13" t="inlineStr">
        <is>
          <t>Classification</t>
        </is>
      </c>
      <c r="J306" s="13" t="inlineStr">
        <is>
          <t>explicit</t>
        </is>
      </c>
      <c r="K306" s="13" t="inlineStr">
        <is>
          <t>CAAR/Del/Morchhadi/07/2021</t>
        </is>
      </c>
      <c r="L306" s="14" t="inlineStr">
        <is>
          <t>https://www.cbic.gov.in/content/pdf/CONTENTREPO/CAAR/Morchandi_Traders_Ruling_No_07.pdf</t>
        </is>
      </c>
      <c r="M306" s="13" t="inlineStr">
        <is>
          <t>YES</t>
        </is>
      </c>
    </row>
    <row r="307">
      <c r="A307" s="13" t="inlineStr">
        <is>
          <t>Delhi Rulings</t>
        </is>
      </c>
      <c r="B307" s="13" t="inlineStr">
        <is>
          <t>31</t>
        </is>
      </c>
      <c r="C307" s="13" t="inlineStr">
        <is>
          <t>303</t>
        </is>
      </c>
      <c r="D307" s="13" t="inlineStr">
        <is>
          <t>M/s Cosmos International</t>
        </is>
      </c>
      <c r="E307" s="13" t="inlineStr">
        <is>
          <t>01.03.2021</t>
        </is>
      </c>
      <c r="F307" s="13" t="inlineStr">
        <is>
          <t>31.05.2021</t>
        </is>
      </c>
      <c r="G307" s="13" t="inlineStr">
        <is>
          <t>2021</t>
        </is>
      </c>
      <c r="H307" s="13" t="inlineStr">
        <is>
          <t>Classification of Betel Nut</t>
        </is>
      </c>
      <c r="I307" s="13" t="inlineStr">
        <is>
          <t>Classification</t>
        </is>
      </c>
      <c r="J307" s="13" t="inlineStr">
        <is>
          <t>explicit</t>
        </is>
      </c>
      <c r="K307" s="13" t="inlineStr">
        <is>
          <t>CAAR/Del/Cosmos Int/06/2021</t>
        </is>
      </c>
      <c r="L307" s="14" t="inlineStr">
        <is>
          <t>https://www.cbic.gov.in/content/pdf/CONTENTREPO/CAAR/Cosmos_Int_Ruling_No_06.pdf</t>
        </is>
      </c>
      <c r="M307" s="13" t="inlineStr">
        <is>
          <t>YES</t>
        </is>
      </c>
    </row>
    <row r="308">
      <c r="A308" s="13" t="inlineStr">
        <is>
          <t>Delhi Rulings</t>
        </is>
      </c>
      <c r="B308" s="13" t="inlineStr">
        <is>
          <t>31</t>
        </is>
      </c>
      <c r="C308" s="13" t="inlineStr">
        <is>
          <t>304</t>
        </is>
      </c>
      <c r="D308" s="13" t="inlineStr">
        <is>
          <t>M/s Great Nut Impex Pvt. Ltd.</t>
        </is>
      </c>
      <c r="E308" s="13" t="inlineStr">
        <is>
          <t>23.02.2021</t>
        </is>
      </c>
      <c r="F308" s="13" t="inlineStr">
        <is>
          <t>20.05.2021</t>
        </is>
      </c>
      <c r="G308" s="13" t="inlineStr">
        <is>
          <t>2021</t>
        </is>
      </c>
      <c r="H308" s="13" t="inlineStr">
        <is>
          <t>Classification of Betel Nut</t>
        </is>
      </c>
      <c r="I308" s="13" t="inlineStr">
        <is>
          <t>Classification</t>
        </is>
      </c>
      <c r="J308" s="13" t="inlineStr">
        <is>
          <t>explicit</t>
        </is>
      </c>
      <c r="K308" s="13" t="inlineStr">
        <is>
          <t>CAAR/Del/Great Nuts/05/2021</t>
        </is>
      </c>
      <c r="L308" s="14" t="inlineStr">
        <is>
          <t>https://www.cbic.gov.in/content/pdf/CONTENTREPO/CAAR/Great_Nut_Ruling_No_05.pdf</t>
        </is>
      </c>
      <c r="M308" s="13" t="inlineStr">
        <is>
          <t>YES</t>
        </is>
      </c>
    </row>
    <row r="309">
      <c r="A309" s="13" t="inlineStr">
        <is>
          <t>Delhi Rulings</t>
        </is>
      </c>
      <c r="B309" s="13" t="inlineStr">
        <is>
          <t>31</t>
        </is>
      </c>
      <c r="C309" s="13" t="inlineStr">
        <is>
          <t>305</t>
        </is>
      </c>
      <c r="D309" s="13" t="inlineStr">
        <is>
          <t>M/s Perfect Trading Co.</t>
        </is>
      </c>
      <c r="E309" s="13" t="inlineStr">
        <is>
          <t>25.02.2021</t>
        </is>
      </c>
      <c r="F309" s="13" t="inlineStr">
        <is>
          <t>20.05.2021</t>
        </is>
      </c>
      <c r="G309" s="13" t="inlineStr">
        <is>
          <t>2021</t>
        </is>
      </c>
      <c r="H309" s="13" t="inlineStr">
        <is>
          <t>Classification of Betel Nut</t>
        </is>
      </c>
      <c r="I309" s="13" t="inlineStr">
        <is>
          <t>Classification</t>
        </is>
      </c>
      <c r="J309" s="13" t="inlineStr">
        <is>
          <t>explicit</t>
        </is>
      </c>
      <c r="K309" s="13" t="inlineStr">
        <is>
          <t>CAAR/Del/Perfect/04/2021</t>
        </is>
      </c>
      <c r="L309" s="14" t="inlineStr">
        <is>
          <t>https://www.cbic.gov.in/content/pdf/CONTENTREPO/CAAR/Perfect_Trading_Ruling_No_04.pdf</t>
        </is>
      </c>
      <c r="M309" s="13" t="inlineStr">
        <is>
          <t>YES</t>
        </is>
      </c>
    </row>
    <row r="310">
      <c r="A310" s="13" t="inlineStr">
        <is>
          <t>Delhi Rulings</t>
        </is>
      </c>
      <c r="B310" s="13" t="inlineStr">
        <is>
          <t>31</t>
        </is>
      </c>
      <c r="C310" s="13" t="inlineStr">
        <is>
          <t>306</t>
        </is>
      </c>
      <c r="D310" s="13" t="inlineStr">
        <is>
          <t>M/s Star Spices</t>
        </is>
      </c>
      <c r="E310" s="13" t="inlineStr">
        <is>
          <t>23.02.2021</t>
        </is>
      </c>
      <c r="F310" s="13" t="inlineStr">
        <is>
          <t>16.04.2021</t>
        </is>
      </c>
      <c r="G310" s="13" t="inlineStr">
        <is>
          <t>2021</t>
        </is>
      </c>
      <c r="H310" s="13" t="inlineStr">
        <is>
          <t>Classification of Betel Nut</t>
        </is>
      </c>
      <c r="I310" s="13" t="inlineStr">
        <is>
          <t>Classification</t>
        </is>
      </c>
      <c r="J310" s="13" t="inlineStr">
        <is>
          <t>explicit</t>
        </is>
      </c>
      <c r="K310" s="13" t="inlineStr">
        <is>
          <t>CAAR/Del/Star Spices/03/2021</t>
        </is>
      </c>
      <c r="L310" s="14" t="inlineStr">
        <is>
          <t>https://www.cbic.gov.in/content/pdf/CONTENTREPO/CAAR/STAR_SPICES_Ruling_No_03.pdf</t>
        </is>
      </c>
      <c r="M310" s="13" t="inlineStr">
        <is>
          <t>YES</t>
        </is>
      </c>
    </row>
    <row r="311">
      <c r="A311" s="13" t="inlineStr">
        <is>
          <t>Delhi Rulings</t>
        </is>
      </c>
      <c r="B311" s="13" t="inlineStr">
        <is>
          <t>31</t>
        </is>
      </c>
      <c r="C311" s="13" t="inlineStr">
        <is>
          <t>307</t>
        </is>
      </c>
      <c r="D311" s="13" t="inlineStr">
        <is>
          <t>M/s Globe Impex</t>
        </is>
      </c>
      <c r="E311" s="13" t="inlineStr">
        <is>
          <t>04.02.2021</t>
        </is>
      </c>
      <c r="F311" s="13" t="inlineStr">
        <is>
          <t>23.03.2021</t>
        </is>
      </c>
      <c r="G311" s="13" t="inlineStr">
        <is>
          <t>2021</t>
        </is>
      </c>
      <c r="H311" s="13" t="inlineStr">
        <is>
          <t>Classification of Betel Nut</t>
        </is>
      </c>
      <c r="I311" s="13" t="inlineStr">
        <is>
          <t>Classification</t>
        </is>
      </c>
      <c r="J311" s="13" t="inlineStr">
        <is>
          <t>explicit</t>
        </is>
      </c>
      <c r="K311" s="13" t="inlineStr">
        <is>
          <t>CAAR/Del/Globe Impex/02/2021</t>
        </is>
      </c>
      <c r="L311" s="14" t="inlineStr">
        <is>
          <t>https://www.cbic.gov.in/content/pdf/CONTENTREPO/CAAR/Globe_Impex_Ruling_No_02.pdf</t>
        </is>
      </c>
      <c r="M311" s="13" t="inlineStr">
        <is>
          <t>YES</t>
        </is>
      </c>
    </row>
    <row r="312">
      <c r="A312" s="13" t="inlineStr">
        <is>
          <t>Delhi Rulings</t>
        </is>
      </c>
      <c r="B312" s="13" t="inlineStr">
        <is>
          <t>31</t>
        </is>
      </c>
      <c r="C312" s="13" t="inlineStr">
        <is>
          <t>308</t>
        </is>
      </c>
      <c r="D312" s="13" t="inlineStr">
        <is>
          <t>M/s Dry Nut Enterprises</t>
        </is>
      </c>
      <c r="E312" s="13" t="inlineStr">
        <is>
          <t>16.12.2020</t>
        </is>
      </c>
      <c r="F312" s="13" t="inlineStr">
        <is>
          <t>16.03.2021</t>
        </is>
      </c>
      <c r="G312" s="13" t="inlineStr">
        <is>
          <t>2021</t>
        </is>
      </c>
      <c r="H312" s="13" t="inlineStr">
        <is>
          <t>Classification of Betel Nut</t>
        </is>
      </c>
      <c r="I312" s="13" t="inlineStr">
        <is>
          <t>Classification</t>
        </is>
      </c>
      <c r="J312" s="13" t="inlineStr">
        <is>
          <t>explicit</t>
        </is>
      </c>
      <c r="K312" s="13" t="inlineStr">
        <is>
          <t>CAAR/Del/Dry Nut/01/2021</t>
        </is>
      </c>
      <c r="L312" s="14" t="inlineStr">
        <is>
          <t>https://www.cbic.gov.in/content/pdf/CONTENTREPO/CAAR/Dry_Nut_Ruling_No_01.pdf</t>
        </is>
      </c>
      <c r="M312" s="13" t="inlineStr">
        <is>
          <t>YES</t>
        </is>
      </c>
    </row>
  </sheetData>
  <mergeCells count="2">
    <mergeCell ref="A2:M2"/>
    <mergeCell ref="A1:M1"/>
  </mergeCells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10" r:id="rId3"/>
    <hyperlink xmlns:r="http://schemas.openxmlformats.org/officeDocument/2006/relationships" ref="L13" r:id="rId4"/>
    <hyperlink xmlns:r="http://schemas.openxmlformats.org/officeDocument/2006/relationships" ref="L14" r:id="rId5"/>
    <hyperlink xmlns:r="http://schemas.openxmlformats.org/officeDocument/2006/relationships" ref="L15" r:id="rId6"/>
    <hyperlink xmlns:r="http://schemas.openxmlformats.org/officeDocument/2006/relationships" ref="L16" r:id="rId7"/>
    <hyperlink xmlns:r="http://schemas.openxmlformats.org/officeDocument/2006/relationships" ref="L18" r:id="rId8"/>
    <hyperlink xmlns:r="http://schemas.openxmlformats.org/officeDocument/2006/relationships" ref="L21" r:id="rId9"/>
    <hyperlink xmlns:r="http://schemas.openxmlformats.org/officeDocument/2006/relationships" ref="L22" r:id="rId10"/>
    <hyperlink xmlns:r="http://schemas.openxmlformats.org/officeDocument/2006/relationships" ref="L23" r:id="rId11"/>
    <hyperlink xmlns:r="http://schemas.openxmlformats.org/officeDocument/2006/relationships" ref="L24" r:id="rId12"/>
    <hyperlink xmlns:r="http://schemas.openxmlformats.org/officeDocument/2006/relationships" ref="L25" r:id="rId13"/>
    <hyperlink xmlns:r="http://schemas.openxmlformats.org/officeDocument/2006/relationships" ref="L26" r:id="rId14"/>
    <hyperlink xmlns:r="http://schemas.openxmlformats.org/officeDocument/2006/relationships" ref="L27" r:id="rId15"/>
    <hyperlink xmlns:r="http://schemas.openxmlformats.org/officeDocument/2006/relationships" ref="L28" r:id="rId16"/>
    <hyperlink xmlns:r="http://schemas.openxmlformats.org/officeDocument/2006/relationships" ref="L29" r:id="rId17"/>
    <hyperlink xmlns:r="http://schemas.openxmlformats.org/officeDocument/2006/relationships" ref="L30" r:id="rId18"/>
    <hyperlink xmlns:r="http://schemas.openxmlformats.org/officeDocument/2006/relationships" ref="L32" r:id="rId19"/>
    <hyperlink xmlns:r="http://schemas.openxmlformats.org/officeDocument/2006/relationships" ref="L33" r:id="rId20"/>
    <hyperlink xmlns:r="http://schemas.openxmlformats.org/officeDocument/2006/relationships" ref="L34" r:id="rId21"/>
    <hyperlink xmlns:r="http://schemas.openxmlformats.org/officeDocument/2006/relationships" ref="L35" r:id="rId22"/>
    <hyperlink xmlns:r="http://schemas.openxmlformats.org/officeDocument/2006/relationships" ref="L36" r:id="rId23"/>
    <hyperlink xmlns:r="http://schemas.openxmlformats.org/officeDocument/2006/relationships" ref="L37" r:id="rId24"/>
    <hyperlink xmlns:r="http://schemas.openxmlformats.org/officeDocument/2006/relationships" ref="L38" r:id="rId25"/>
    <hyperlink xmlns:r="http://schemas.openxmlformats.org/officeDocument/2006/relationships" ref="L39" r:id="rId26"/>
    <hyperlink xmlns:r="http://schemas.openxmlformats.org/officeDocument/2006/relationships" ref="L40" r:id="rId27"/>
    <hyperlink xmlns:r="http://schemas.openxmlformats.org/officeDocument/2006/relationships" ref="L41" r:id="rId28"/>
    <hyperlink xmlns:r="http://schemas.openxmlformats.org/officeDocument/2006/relationships" ref="L42" r:id="rId29"/>
    <hyperlink xmlns:r="http://schemas.openxmlformats.org/officeDocument/2006/relationships" ref="L43" r:id="rId30"/>
    <hyperlink xmlns:r="http://schemas.openxmlformats.org/officeDocument/2006/relationships" ref="L44" r:id="rId31"/>
    <hyperlink xmlns:r="http://schemas.openxmlformats.org/officeDocument/2006/relationships" ref="L45" r:id="rId32"/>
    <hyperlink xmlns:r="http://schemas.openxmlformats.org/officeDocument/2006/relationships" ref="L46" r:id="rId33"/>
    <hyperlink xmlns:r="http://schemas.openxmlformats.org/officeDocument/2006/relationships" ref="L47" r:id="rId34"/>
    <hyperlink xmlns:r="http://schemas.openxmlformats.org/officeDocument/2006/relationships" ref="L48" r:id="rId35"/>
    <hyperlink xmlns:r="http://schemas.openxmlformats.org/officeDocument/2006/relationships" ref="L49" r:id="rId36"/>
    <hyperlink xmlns:r="http://schemas.openxmlformats.org/officeDocument/2006/relationships" ref="L50" r:id="rId37"/>
    <hyperlink xmlns:r="http://schemas.openxmlformats.org/officeDocument/2006/relationships" ref="L51" r:id="rId38"/>
    <hyperlink xmlns:r="http://schemas.openxmlformats.org/officeDocument/2006/relationships" ref="L52" r:id="rId39"/>
    <hyperlink xmlns:r="http://schemas.openxmlformats.org/officeDocument/2006/relationships" ref="L53" r:id="rId40"/>
    <hyperlink xmlns:r="http://schemas.openxmlformats.org/officeDocument/2006/relationships" ref="L54" r:id="rId41"/>
    <hyperlink xmlns:r="http://schemas.openxmlformats.org/officeDocument/2006/relationships" ref="L55" r:id="rId42"/>
    <hyperlink xmlns:r="http://schemas.openxmlformats.org/officeDocument/2006/relationships" ref="L56" r:id="rId43"/>
    <hyperlink xmlns:r="http://schemas.openxmlformats.org/officeDocument/2006/relationships" ref="L57" r:id="rId44"/>
    <hyperlink xmlns:r="http://schemas.openxmlformats.org/officeDocument/2006/relationships" ref="L58" r:id="rId45"/>
    <hyperlink xmlns:r="http://schemas.openxmlformats.org/officeDocument/2006/relationships" ref="L59" r:id="rId46"/>
    <hyperlink xmlns:r="http://schemas.openxmlformats.org/officeDocument/2006/relationships" ref="L60" r:id="rId47"/>
    <hyperlink xmlns:r="http://schemas.openxmlformats.org/officeDocument/2006/relationships" ref="L61" r:id="rId48"/>
    <hyperlink xmlns:r="http://schemas.openxmlformats.org/officeDocument/2006/relationships" ref="L62" r:id="rId49"/>
    <hyperlink xmlns:r="http://schemas.openxmlformats.org/officeDocument/2006/relationships" ref="L63" r:id="rId50"/>
    <hyperlink xmlns:r="http://schemas.openxmlformats.org/officeDocument/2006/relationships" ref="L64" r:id="rId51"/>
    <hyperlink xmlns:r="http://schemas.openxmlformats.org/officeDocument/2006/relationships" ref="L65" r:id="rId52"/>
    <hyperlink xmlns:r="http://schemas.openxmlformats.org/officeDocument/2006/relationships" ref="L66" r:id="rId53"/>
    <hyperlink xmlns:r="http://schemas.openxmlformats.org/officeDocument/2006/relationships" ref="L67" r:id="rId54"/>
    <hyperlink xmlns:r="http://schemas.openxmlformats.org/officeDocument/2006/relationships" ref="L68" r:id="rId55"/>
    <hyperlink xmlns:r="http://schemas.openxmlformats.org/officeDocument/2006/relationships" ref="L69" r:id="rId56"/>
    <hyperlink xmlns:r="http://schemas.openxmlformats.org/officeDocument/2006/relationships" ref="L72" r:id="rId57"/>
    <hyperlink xmlns:r="http://schemas.openxmlformats.org/officeDocument/2006/relationships" ref="L73" r:id="rId58"/>
    <hyperlink xmlns:r="http://schemas.openxmlformats.org/officeDocument/2006/relationships" ref="L74" r:id="rId59"/>
    <hyperlink xmlns:r="http://schemas.openxmlformats.org/officeDocument/2006/relationships" ref="L75" r:id="rId60"/>
    <hyperlink xmlns:r="http://schemas.openxmlformats.org/officeDocument/2006/relationships" ref="L77" r:id="rId61"/>
    <hyperlink xmlns:r="http://schemas.openxmlformats.org/officeDocument/2006/relationships" ref="L84" r:id="rId62"/>
    <hyperlink xmlns:r="http://schemas.openxmlformats.org/officeDocument/2006/relationships" ref="L85" r:id="rId63"/>
    <hyperlink xmlns:r="http://schemas.openxmlformats.org/officeDocument/2006/relationships" ref="L87" r:id="rId64"/>
    <hyperlink xmlns:r="http://schemas.openxmlformats.org/officeDocument/2006/relationships" ref="L88" r:id="rId65"/>
    <hyperlink xmlns:r="http://schemas.openxmlformats.org/officeDocument/2006/relationships" ref="L89" r:id="rId66"/>
    <hyperlink xmlns:r="http://schemas.openxmlformats.org/officeDocument/2006/relationships" ref="L90" r:id="rId67"/>
    <hyperlink xmlns:r="http://schemas.openxmlformats.org/officeDocument/2006/relationships" ref="L91" r:id="rId68"/>
    <hyperlink xmlns:r="http://schemas.openxmlformats.org/officeDocument/2006/relationships" ref="L92" r:id="rId69"/>
    <hyperlink xmlns:r="http://schemas.openxmlformats.org/officeDocument/2006/relationships" ref="L93" r:id="rId70"/>
    <hyperlink xmlns:r="http://schemas.openxmlformats.org/officeDocument/2006/relationships" ref="L95" r:id="rId71"/>
    <hyperlink xmlns:r="http://schemas.openxmlformats.org/officeDocument/2006/relationships" ref="L97" r:id="rId72"/>
    <hyperlink xmlns:r="http://schemas.openxmlformats.org/officeDocument/2006/relationships" ref="L98" r:id="rId73"/>
    <hyperlink xmlns:r="http://schemas.openxmlformats.org/officeDocument/2006/relationships" ref="L99" r:id="rId74"/>
    <hyperlink xmlns:r="http://schemas.openxmlformats.org/officeDocument/2006/relationships" ref="L100" r:id="rId75"/>
    <hyperlink xmlns:r="http://schemas.openxmlformats.org/officeDocument/2006/relationships" ref="L101" r:id="rId76"/>
    <hyperlink xmlns:r="http://schemas.openxmlformats.org/officeDocument/2006/relationships" ref="L102" r:id="rId77"/>
    <hyperlink xmlns:r="http://schemas.openxmlformats.org/officeDocument/2006/relationships" ref="L103" r:id="rId78"/>
    <hyperlink xmlns:r="http://schemas.openxmlformats.org/officeDocument/2006/relationships" ref="L104" r:id="rId79"/>
    <hyperlink xmlns:r="http://schemas.openxmlformats.org/officeDocument/2006/relationships" ref="L105" r:id="rId80"/>
    <hyperlink xmlns:r="http://schemas.openxmlformats.org/officeDocument/2006/relationships" ref="L106" r:id="rId81"/>
    <hyperlink xmlns:r="http://schemas.openxmlformats.org/officeDocument/2006/relationships" ref="L107" r:id="rId82"/>
    <hyperlink xmlns:r="http://schemas.openxmlformats.org/officeDocument/2006/relationships" ref="L108" r:id="rId83"/>
    <hyperlink xmlns:r="http://schemas.openxmlformats.org/officeDocument/2006/relationships" ref="L109" r:id="rId84"/>
    <hyperlink xmlns:r="http://schemas.openxmlformats.org/officeDocument/2006/relationships" ref="L111" r:id="rId85"/>
    <hyperlink xmlns:r="http://schemas.openxmlformats.org/officeDocument/2006/relationships" ref="L112" r:id="rId86"/>
    <hyperlink xmlns:r="http://schemas.openxmlformats.org/officeDocument/2006/relationships" ref="L113" r:id="rId87"/>
    <hyperlink xmlns:r="http://schemas.openxmlformats.org/officeDocument/2006/relationships" ref="L114" r:id="rId88"/>
    <hyperlink xmlns:r="http://schemas.openxmlformats.org/officeDocument/2006/relationships" ref="L115" r:id="rId89"/>
    <hyperlink xmlns:r="http://schemas.openxmlformats.org/officeDocument/2006/relationships" ref="L116" r:id="rId90"/>
    <hyperlink xmlns:r="http://schemas.openxmlformats.org/officeDocument/2006/relationships" ref="L117" r:id="rId91"/>
    <hyperlink xmlns:r="http://schemas.openxmlformats.org/officeDocument/2006/relationships" ref="L118" r:id="rId92"/>
    <hyperlink xmlns:r="http://schemas.openxmlformats.org/officeDocument/2006/relationships" ref="L119" r:id="rId93"/>
    <hyperlink xmlns:r="http://schemas.openxmlformats.org/officeDocument/2006/relationships" ref="L120" r:id="rId94"/>
    <hyperlink xmlns:r="http://schemas.openxmlformats.org/officeDocument/2006/relationships" ref="L121" r:id="rId95"/>
    <hyperlink xmlns:r="http://schemas.openxmlformats.org/officeDocument/2006/relationships" ref="L122" r:id="rId96"/>
    <hyperlink xmlns:r="http://schemas.openxmlformats.org/officeDocument/2006/relationships" ref="L123" r:id="rId97"/>
    <hyperlink xmlns:r="http://schemas.openxmlformats.org/officeDocument/2006/relationships" ref="L124" r:id="rId98"/>
    <hyperlink xmlns:r="http://schemas.openxmlformats.org/officeDocument/2006/relationships" ref="L125" r:id="rId99"/>
    <hyperlink xmlns:r="http://schemas.openxmlformats.org/officeDocument/2006/relationships" ref="L126" r:id="rId100"/>
    <hyperlink xmlns:r="http://schemas.openxmlformats.org/officeDocument/2006/relationships" ref="L127" r:id="rId101"/>
    <hyperlink xmlns:r="http://schemas.openxmlformats.org/officeDocument/2006/relationships" ref="L128" r:id="rId102"/>
    <hyperlink xmlns:r="http://schemas.openxmlformats.org/officeDocument/2006/relationships" ref="L129" r:id="rId103"/>
    <hyperlink xmlns:r="http://schemas.openxmlformats.org/officeDocument/2006/relationships" ref="L130" r:id="rId104"/>
    <hyperlink xmlns:r="http://schemas.openxmlformats.org/officeDocument/2006/relationships" ref="L131" r:id="rId105"/>
    <hyperlink xmlns:r="http://schemas.openxmlformats.org/officeDocument/2006/relationships" ref="L132" r:id="rId106"/>
    <hyperlink xmlns:r="http://schemas.openxmlformats.org/officeDocument/2006/relationships" ref="L133" r:id="rId107"/>
    <hyperlink xmlns:r="http://schemas.openxmlformats.org/officeDocument/2006/relationships" ref="L134" r:id="rId108"/>
    <hyperlink xmlns:r="http://schemas.openxmlformats.org/officeDocument/2006/relationships" ref="L135" r:id="rId109"/>
    <hyperlink xmlns:r="http://schemas.openxmlformats.org/officeDocument/2006/relationships" ref="L136" r:id="rId110"/>
    <hyperlink xmlns:r="http://schemas.openxmlformats.org/officeDocument/2006/relationships" ref="L137" r:id="rId111"/>
    <hyperlink xmlns:r="http://schemas.openxmlformats.org/officeDocument/2006/relationships" ref="L138" r:id="rId112"/>
    <hyperlink xmlns:r="http://schemas.openxmlformats.org/officeDocument/2006/relationships" ref="L139" r:id="rId113"/>
    <hyperlink xmlns:r="http://schemas.openxmlformats.org/officeDocument/2006/relationships" ref="L140" r:id="rId114"/>
    <hyperlink xmlns:r="http://schemas.openxmlformats.org/officeDocument/2006/relationships" ref="L142" r:id="rId115"/>
    <hyperlink xmlns:r="http://schemas.openxmlformats.org/officeDocument/2006/relationships" ref="L143" r:id="rId116"/>
    <hyperlink xmlns:r="http://schemas.openxmlformats.org/officeDocument/2006/relationships" ref="L144" r:id="rId117"/>
    <hyperlink xmlns:r="http://schemas.openxmlformats.org/officeDocument/2006/relationships" ref="L145" r:id="rId118"/>
    <hyperlink xmlns:r="http://schemas.openxmlformats.org/officeDocument/2006/relationships" ref="L146" r:id="rId119"/>
    <hyperlink xmlns:r="http://schemas.openxmlformats.org/officeDocument/2006/relationships" ref="L148" r:id="rId120"/>
    <hyperlink xmlns:r="http://schemas.openxmlformats.org/officeDocument/2006/relationships" ref="L149" r:id="rId121"/>
    <hyperlink xmlns:r="http://schemas.openxmlformats.org/officeDocument/2006/relationships" ref="L150" r:id="rId122"/>
    <hyperlink xmlns:r="http://schemas.openxmlformats.org/officeDocument/2006/relationships" ref="L151" r:id="rId123"/>
    <hyperlink xmlns:r="http://schemas.openxmlformats.org/officeDocument/2006/relationships" ref="L152" r:id="rId124"/>
    <hyperlink xmlns:r="http://schemas.openxmlformats.org/officeDocument/2006/relationships" ref="L153" r:id="rId125"/>
    <hyperlink xmlns:r="http://schemas.openxmlformats.org/officeDocument/2006/relationships" ref="L154" r:id="rId126"/>
    <hyperlink xmlns:r="http://schemas.openxmlformats.org/officeDocument/2006/relationships" ref="L155" r:id="rId127"/>
    <hyperlink xmlns:r="http://schemas.openxmlformats.org/officeDocument/2006/relationships" ref="L156" r:id="rId128"/>
    <hyperlink xmlns:r="http://schemas.openxmlformats.org/officeDocument/2006/relationships" ref="L157" r:id="rId129"/>
    <hyperlink xmlns:r="http://schemas.openxmlformats.org/officeDocument/2006/relationships" ref="L158" r:id="rId130"/>
    <hyperlink xmlns:r="http://schemas.openxmlformats.org/officeDocument/2006/relationships" ref="L159" r:id="rId131"/>
    <hyperlink xmlns:r="http://schemas.openxmlformats.org/officeDocument/2006/relationships" ref="L160" r:id="rId132"/>
    <hyperlink xmlns:r="http://schemas.openxmlformats.org/officeDocument/2006/relationships" ref="L161" r:id="rId133"/>
    <hyperlink xmlns:r="http://schemas.openxmlformats.org/officeDocument/2006/relationships" ref="L162" r:id="rId134"/>
    <hyperlink xmlns:r="http://schemas.openxmlformats.org/officeDocument/2006/relationships" ref="L163" r:id="rId135"/>
    <hyperlink xmlns:r="http://schemas.openxmlformats.org/officeDocument/2006/relationships" ref="L164" r:id="rId136"/>
    <hyperlink xmlns:r="http://schemas.openxmlformats.org/officeDocument/2006/relationships" ref="L165" r:id="rId137"/>
    <hyperlink xmlns:r="http://schemas.openxmlformats.org/officeDocument/2006/relationships" ref="L167" r:id="rId138"/>
    <hyperlink xmlns:r="http://schemas.openxmlformats.org/officeDocument/2006/relationships" ref="L168" r:id="rId139"/>
    <hyperlink xmlns:r="http://schemas.openxmlformats.org/officeDocument/2006/relationships" ref="L169" r:id="rId140"/>
    <hyperlink xmlns:r="http://schemas.openxmlformats.org/officeDocument/2006/relationships" ref="L170" r:id="rId141"/>
    <hyperlink xmlns:r="http://schemas.openxmlformats.org/officeDocument/2006/relationships" ref="L171" r:id="rId142"/>
    <hyperlink xmlns:r="http://schemas.openxmlformats.org/officeDocument/2006/relationships" ref="L172" r:id="rId143"/>
    <hyperlink xmlns:r="http://schemas.openxmlformats.org/officeDocument/2006/relationships" ref="L173" r:id="rId144"/>
    <hyperlink xmlns:r="http://schemas.openxmlformats.org/officeDocument/2006/relationships" ref="L174" r:id="rId145"/>
    <hyperlink xmlns:r="http://schemas.openxmlformats.org/officeDocument/2006/relationships" ref="L175" r:id="rId146"/>
    <hyperlink xmlns:r="http://schemas.openxmlformats.org/officeDocument/2006/relationships" ref="L176" r:id="rId147"/>
    <hyperlink xmlns:r="http://schemas.openxmlformats.org/officeDocument/2006/relationships" ref="L177" r:id="rId148"/>
    <hyperlink xmlns:r="http://schemas.openxmlformats.org/officeDocument/2006/relationships" ref="L178" r:id="rId149"/>
    <hyperlink xmlns:r="http://schemas.openxmlformats.org/officeDocument/2006/relationships" ref="L179" r:id="rId150"/>
    <hyperlink xmlns:r="http://schemas.openxmlformats.org/officeDocument/2006/relationships" ref="L180" r:id="rId151"/>
    <hyperlink xmlns:r="http://schemas.openxmlformats.org/officeDocument/2006/relationships" ref="L181" r:id="rId152"/>
    <hyperlink xmlns:r="http://schemas.openxmlformats.org/officeDocument/2006/relationships" ref="L182" r:id="rId153"/>
    <hyperlink xmlns:r="http://schemas.openxmlformats.org/officeDocument/2006/relationships" ref="L183" r:id="rId154"/>
    <hyperlink xmlns:r="http://schemas.openxmlformats.org/officeDocument/2006/relationships" ref="L184" r:id="rId155"/>
    <hyperlink xmlns:r="http://schemas.openxmlformats.org/officeDocument/2006/relationships" ref="L185" r:id="rId156"/>
    <hyperlink xmlns:r="http://schemas.openxmlformats.org/officeDocument/2006/relationships" ref="L186" r:id="rId157"/>
    <hyperlink xmlns:r="http://schemas.openxmlformats.org/officeDocument/2006/relationships" ref="L187" r:id="rId158"/>
    <hyperlink xmlns:r="http://schemas.openxmlformats.org/officeDocument/2006/relationships" ref="L188" r:id="rId159"/>
    <hyperlink xmlns:r="http://schemas.openxmlformats.org/officeDocument/2006/relationships" ref="L189" r:id="rId160"/>
    <hyperlink xmlns:r="http://schemas.openxmlformats.org/officeDocument/2006/relationships" ref="L190" r:id="rId161"/>
    <hyperlink xmlns:r="http://schemas.openxmlformats.org/officeDocument/2006/relationships" ref="L191" r:id="rId162"/>
    <hyperlink xmlns:r="http://schemas.openxmlformats.org/officeDocument/2006/relationships" ref="L192" r:id="rId163"/>
    <hyperlink xmlns:r="http://schemas.openxmlformats.org/officeDocument/2006/relationships" ref="L193" r:id="rId164"/>
    <hyperlink xmlns:r="http://schemas.openxmlformats.org/officeDocument/2006/relationships" ref="L194" r:id="rId165"/>
    <hyperlink xmlns:r="http://schemas.openxmlformats.org/officeDocument/2006/relationships" ref="L195" r:id="rId166"/>
    <hyperlink xmlns:r="http://schemas.openxmlformats.org/officeDocument/2006/relationships" ref="L196" r:id="rId167"/>
    <hyperlink xmlns:r="http://schemas.openxmlformats.org/officeDocument/2006/relationships" ref="L197" r:id="rId168"/>
    <hyperlink xmlns:r="http://schemas.openxmlformats.org/officeDocument/2006/relationships" ref="L198" r:id="rId169"/>
    <hyperlink xmlns:r="http://schemas.openxmlformats.org/officeDocument/2006/relationships" ref="L200" r:id="rId170"/>
    <hyperlink xmlns:r="http://schemas.openxmlformats.org/officeDocument/2006/relationships" ref="L201" r:id="rId171"/>
    <hyperlink xmlns:r="http://schemas.openxmlformats.org/officeDocument/2006/relationships" ref="L202" r:id="rId172"/>
    <hyperlink xmlns:r="http://schemas.openxmlformats.org/officeDocument/2006/relationships" ref="L203" r:id="rId173"/>
    <hyperlink xmlns:r="http://schemas.openxmlformats.org/officeDocument/2006/relationships" ref="L205" r:id="rId174"/>
    <hyperlink xmlns:r="http://schemas.openxmlformats.org/officeDocument/2006/relationships" ref="L206" r:id="rId175"/>
    <hyperlink xmlns:r="http://schemas.openxmlformats.org/officeDocument/2006/relationships" ref="L207" r:id="rId176"/>
    <hyperlink xmlns:r="http://schemas.openxmlformats.org/officeDocument/2006/relationships" ref="L208" r:id="rId177"/>
    <hyperlink xmlns:r="http://schemas.openxmlformats.org/officeDocument/2006/relationships" ref="L209" r:id="rId178"/>
    <hyperlink xmlns:r="http://schemas.openxmlformats.org/officeDocument/2006/relationships" ref="L212" r:id="rId179"/>
    <hyperlink xmlns:r="http://schemas.openxmlformats.org/officeDocument/2006/relationships" ref="L213" r:id="rId180"/>
    <hyperlink xmlns:r="http://schemas.openxmlformats.org/officeDocument/2006/relationships" ref="L214" r:id="rId181"/>
    <hyperlink xmlns:r="http://schemas.openxmlformats.org/officeDocument/2006/relationships" ref="L215" r:id="rId182"/>
    <hyperlink xmlns:r="http://schemas.openxmlformats.org/officeDocument/2006/relationships" ref="L216" r:id="rId183"/>
    <hyperlink xmlns:r="http://schemas.openxmlformats.org/officeDocument/2006/relationships" ref="L217" r:id="rId184"/>
    <hyperlink xmlns:r="http://schemas.openxmlformats.org/officeDocument/2006/relationships" ref="L218" r:id="rId185"/>
    <hyperlink xmlns:r="http://schemas.openxmlformats.org/officeDocument/2006/relationships" ref="L219" r:id="rId186"/>
    <hyperlink xmlns:r="http://schemas.openxmlformats.org/officeDocument/2006/relationships" ref="L220" r:id="rId187"/>
    <hyperlink xmlns:r="http://schemas.openxmlformats.org/officeDocument/2006/relationships" ref="L221" r:id="rId188"/>
    <hyperlink xmlns:r="http://schemas.openxmlformats.org/officeDocument/2006/relationships" ref="L222" r:id="rId189"/>
    <hyperlink xmlns:r="http://schemas.openxmlformats.org/officeDocument/2006/relationships" ref="L223" r:id="rId190"/>
    <hyperlink xmlns:r="http://schemas.openxmlformats.org/officeDocument/2006/relationships" ref="L224" r:id="rId191"/>
    <hyperlink xmlns:r="http://schemas.openxmlformats.org/officeDocument/2006/relationships" ref="L225" r:id="rId192"/>
    <hyperlink xmlns:r="http://schemas.openxmlformats.org/officeDocument/2006/relationships" ref="L230" r:id="rId193"/>
    <hyperlink xmlns:r="http://schemas.openxmlformats.org/officeDocument/2006/relationships" ref="L231" r:id="rId194"/>
    <hyperlink xmlns:r="http://schemas.openxmlformats.org/officeDocument/2006/relationships" ref="L232" r:id="rId195"/>
    <hyperlink xmlns:r="http://schemas.openxmlformats.org/officeDocument/2006/relationships" ref="L233" r:id="rId196"/>
    <hyperlink xmlns:r="http://schemas.openxmlformats.org/officeDocument/2006/relationships" ref="L234" r:id="rId197"/>
    <hyperlink xmlns:r="http://schemas.openxmlformats.org/officeDocument/2006/relationships" ref="L235" r:id="rId198"/>
    <hyperlink xmlns:r="http://schemas.openxmlformats.org/officeDocument/2006/relationships" ref="L236" r:id="rId199"/>
    <hyperlink xmlns:r="http://schemas.openxmlformats.org/officeDocument/2006/relationships" ref="L237" r:id="rId200"/>
    <hyperlink xmlns:r="http://schemas.openxmlformats.org/officeDocument/2006/relationships" ref="L238" r:id="rId201"/>
    <hyperlink xmlns:r="http://schemas.openxmlformats.org/officeDocument/2006/relationships" ref="L239" r:id="rId202"/>
    <hyperlink xmlns:r="http://schemas.openxmlformats.org/officeDocument/2006/relationships" ref="L240" r:id="rId203"/>
    <hyperlink xmlns:r="http://schemas.openxmlformats.org/officeDocument/2006/relationships" ref="L241" r:id="rId204"/>
    <hyperlink xmlns:r="http://schemas.openxmlformats.org/officeDocument/2006/relationships" ref="L242" r:id="rId205"/>
    <hyperlink xmlns:r="http://schemas.openxmlformats.org/officeDocument/2006/relationships" ref="L243" r:id="rId206"/>
    <hyperlink xmlns:r="http://schemas.openxmlformats.org/officeDocument/2006/relationships" ref="L244" r:id="rId207"/>
    <hyperlink xmlns:r="http://schemas.openxmlformats.org/officeDocument/2006/relationships" ref="L245" r:id="rId208"/>
    <hyperlink xmlns:r="http://schemas.openxmlformats.org/officeDocument/2006/relationships" ref="L246" r:id="rId209"/>
    <hyperlink xmlns:r="http://schemas.openxmlformats.org/officeDocument/2006/relationships" ref="L247" r:id="rId210"/>
    <hyperlink xmlns:r="http://schemas.openxmlformats.org/officeDocument/2006/relationships" ref="L248" r:id="rId211"/>
    <hyperlink xmlns:r="http://schemas.openxmlformats.org/officeDocument/2006/relationships" ref="L249" r:id="rId212"/>
    <hyperlink xmlns:r="http://schemas.openxmlformats.org/officeDocument/2006/relationships" ref="L250" r:id="rId213"/>
    <hyperlink xmlns:r="http://schemas.openxmlformats.org/officeDocument/2006/relationships" ref="L251" r:id="rId214"/>
    <hyperlink xmlns:r="http://schemas.openxmlformats.org/officeDocument/2006/relationships" ref="L252" r:id="rId215"/>
    <hyperlink xmlns:r="http://schemas.openxmlformats.org/officeDocument/2006/relationships" ref="L253" r:id="rId216"/>
    <hyperlink xmlns:r="http://schemas.openxmlformats.org/officeDocument/2006/relationships" ref="L254" r:id="rId217"/>
    <hyperlink xmlns:r="http://schemas.openxmlformats.org/officeDocument/2006/relationships" ref="L255" r:id="rId218"/>
    <hyperlink xmlns:r="http://schemas.openxmlformats.org/officeDocument/2006/relationships" ref="L256" r:id="rId219"/>
    <hyperlink xmlns:r="http://schemas.openxmlformats.org/officeDocument/2006/relationships" ref="L257" r:id="rId220"/>
    <hyperlink xmlns:r="http://schemas.openxmlformats.org/officeDocument/2006/relationships" ref="L258" r:id="rId221"/>
    <hyperlink xmlns:r="http://schemas.openxmlformats.org/officeDocument/2006/relationships" ref="L259" r:id="rId222"/>
    <hyperlink xmlns:r="http://schemas.openxmlformats.org/officeDocument/2006/relationships" ref="L260" r:id="rId223"/>
    <hyperlink xmlns:r="http://schemas.openxmlformats.org/officeDocument/2006/relationships" ref="L261" r:id="rId224"/>
    <hyperlink xmlns:r="http://schemas.openxmlformats.org/officeDocument/2006/relationships" ref="L262" r:id="rId225"/>
    <hyperlink xmlns:r="http://schemas.openxmlformats.org/officeDocument/2006/relationships" ref="L263" r:id="rId226"/>
    <hyperlink xmlns:r="http://schemas.openxmlformats.org/officeDocument/2006/relationships" ref="L264" r:id="rId227"/>
    <hyperlink xmlns:r="http://schemas.openxmlformats.org/officeDocument/2006/relationships" ref="L265" r:id="rId228"/>
    <hyperlink xmlns:r="http://schemas.openxmlformats.org/officeDocument/2006/relationships" ref="L266" r:id="rId229"/>
    <hyperlink xmlns:r="http://schemas.openxmlformats.org/officeDocument/2006/relationships" ref="L267" r:id="rId230"/>
    <hyperlink xmlns:r="http://schemas.openxmlformats.org/officeDocument/2006/relationships" ref="L268" r:id="rId231"/>
    <hyperlink xmlns:r="http://schemas.openxmlformats.org/officeDocument/2006/relationships" ref="L269" r:id="rId232"/>
    <hyperlink xmlns:r="http://schemas.openxmlformats.org/officeDocument/2006/relationships" ref="L270" r:id="rId233"/>
    <hyperlink xmlns:r="http://schemas.openxmlformats.org/officeDocument/2006/relationships" ref="L271" r:id="rId234"/>
    <hyperlink xmlns:r="http://schemas.openxmlformats.org/officeDocument/2006/relationships" ref="L272" r:id="rId235"/>
    <hyperlink xmlns:r="http://schemas.openxmlformats.org/officeDocument/2006/relationships" ref="L273" r:id="rId236"/>
    <hyperlink xmlns:r="http://schemas.openxmlformats.org/officeDocument/2006/relationships" ref="L274" r:id="rId237"/>
    <hyperlink xmlns:r="http://schemas.openxmlformats.org/officeDocument/2006/relationships" ref="L275" r:id="rId238"/>
    <hyperlink xmlns:r="http://schemas.openxmlformats.org/officeDocument/2006/relationships" ref="L276" r:id="rId239"/>
    <hyperlink xmlns:r="http://schemas.openxmlformats.org/officeDocument/2006/relationships" ref="L277" r:id="rId240"/>
    <hyperlink xmlns:r="http://schemas.openxmlformats.org/officeDocument/2006/relationships" ref="L278" r:id="rId241"/>
    <hyperlink xmlns:r="http://schemas.openxmlformats.org/officeDocument/2006/relationships" ref="L279" r:id="rId242"/>
    <hyperlink xmlns:r="http://schemas.openxmlformats.org/officeDocument/2006/relationships" ref="L280" r:id="rId243"/>
    <hyperlink xmlns:r="http://schemas.openxmlformats.org/officeDocument/2006/relationships" ref="L281" r:id="rId244"/>
    <hyperlink xmlns:r="http://schemas.openxmlformats.org/officeDocument/2006/relationships" ref="L282" r:id="rId245"/>
    <hyperlink xmlns:r="http://schemas.openxmlformats.org/officeDocument/2006/relationships" ref="L283" r:id="rId246"/>
    <hyperlink xmlns:r="http://schemas.openxmlformats.org/officeDocument/2006/relationships" ref="L284" r:id="rId247"/>
    <hyperlink xmlns:r="http://schemas.openxmlformats.org/officeDocument/2006/relationships" ref="L285" r:id="rId248"/>
    <hyperlink xmlns:r="http://schemas.openxmlformats.org/officeDocument/2006/relationships" ref="L286" r:id="rId249"/>
    <hyperlink xmlns:r="http://schemas.openxmlformats.org/officeDocument/2006/relationships" ref="L287" r:id="rId250"/>
    <hyperlink xmlns:r="http://schemas.openxmlformats.org/officeDocument/2006/relationships" ref="L288" r:id="rId251"/>
    <hyperlink xmlns:r="http://schemas.openxmlformats.org/officeDocument/2006/relationships" ref="L289" r:id="rId252"/>
    <hyperlink xmlns:r="http://schemas.openxmlformats.org/officeDocument/2006/relationships" ref="L290" r:id="rId253"/>
    <hyperlink xmlns:r="http://schemas.openxmlformats.org/officeDocument/2006/relationships" ref="L291" r:id="rId254"/>
    <hyperlink xmlns:r="http://schemas.openxmlformats.org/officeDocument/2006/relationships" ref="L292" r:id="rId255"/>
    <hyperlink xmlns:r="http://schemas.openxmlformats.org/officeDocument/2006/relationships" ref="L293" r:id="rId256"/>
    <hyperlink xmlns:r="http://schemas.openxmlformats.org/officeDocument/2006/relationships" ref="L294" r:id="rId257"/>
    <hyperlink xmlns:r="http://schemas.openxmlformats.org/officeDocument/2006/relationships" ref="L295" r:id="rId258"/>
    <hyperlink xmlns:r="http://schemas.openxmlformats.org/officeDocument/2006/relationships" ref="L296" r:id="rId259"/>
    <hyperlink xmlns:r="http://schemas.openxmlformats.org/officeDocument/2006/relationships" ref="L297" r:id="rId260"/>
    <hyperlink xmlns:r="http://schemas.openxmlformats.org/officeDocument/2006/relationships" ref="L298" r:id="rId261"/>
    <hyperlink xmlns:r="http://schemas.openxmlformats.org/officeDocument/2006/relationships" ref="L299" r:id="rId262"/>
    <hyperlink xmlns:r="http://schemas.openxmlformats.org/officeDocument/2006/relationships" ref="L300" r:id="rId263"/>
    <hyperlink xmlns:r="http://schemas.openxmlformats.org/officeDocument/2006/relationships" ref="L301" r:id="rId264"/>
    <hyperlink xmlns:r="http://schemas.openxmlformats.org/officeDocument/2006/relationships" ref="L302" r:id="rId265"/>
    <hyperlink xmlns:r="http://schemas.openxmlformats.org/officeDocument/2006/relationships" ref="L303" r:id="rId266"/>
    <hyperlink xmlns:r="http://schemas.openxmlformats.org/officeDocument/2006/relationships" ref="L304" r:id="rId267"/>
    <hyperlink xmlns:r="http://schemas.openxmlformats.org/officeDocument/2006/relationships" ref="L305" r:id="rId268"/>
    <hyperlink xmlns:r="http://schemas.openxmlformats.org/officeDocument/2006/relationships" ref="L306" r:id="rId269"/>
    <hyperlink xmlns:r="http://schemas.openxmlformats.org/officeDocument/2006/relationships" ref="L307" r:id="rId270"/>
    <hyperlink xmlns:r="http://schemas.openxmlformats.org/officeDocument/2006/relationships" ref="L308" r:id="rId271"/>
    <hyperlink xmlns:r="http://schemas.openxmlformats.org/officeDocument/2006/relationships" ref="L309" r:id="rId272"/>
    <hyperlink xmlns:r="http://schemas.openxmlformats.org/officeDocument/2006/relationships" ref="L310" r:id="rId273"/>
    <hyperlink xmlns:r="http://schemas.openxmlformats.org/officeDocument/2006/relationships" ref="L311" r:id="rId274"/>
    <hyperlink xmlns:r="http://schemas.openxmlformats.org/officeDocument/2006/relationships" ref="L312" r:id="rId27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4" customWidth="1" min="2" max="2"/>
    <col width="4" customWidth="1" min="3" max="3"/>
    <col width="35" customWidth="1" min="4" max="4"/>
    <col width="13" customWidth="1" min="5" max="5"/>
    <col width="13" customWidth="1" min="6" max="6"/>
    <col width="7" customWidth="1" min="7" max="7"/>
    <col width="50" customWidth="1" min="8" max="8"/>
    <col width="16" customWidth="1" min="9" max="9"/>
    <col width="11" customWidth="1" min="10" max="10"/>
    <col width="28" customWidth="1" min="11" max="11"/>
    <col width="35" customWidth="1" min="12" max="12"/>
    <col width="7" customWidth="1" min="13" max="13"/>
  </cols>
  <sheetData>
    <row r="1" ht="24" customHeight="1">
      <c r="A1" s="11" t="inlineStr">
        <is>
          <t>CAAR Litigation Analytics  -  Delhi Orders</t>
        </is>
      </c>
    </row>
    <row r="2">
      <c r="A2" s="2" t="inlineStr">
        <is>
          <t>0 records</t>
        </is>
      </c>
    </row>
    <row r="4" ht="32" customHeight="1">
      <c r="A4" s="12" t="inlineStr">
        <is>
          <t>Section</t>
        </is>
      </c>
      <c r="B4" s="12" t="inlineStr">
        <is>
          <t>Pg</t>
        </is>
      </c>
      <c r="C4" s="12" t="inlineStr">
        <is>
          <t>Sl</t>
        </is>
      </c>
      <c r="D4" s="12" t="inlineStr">
        <is>
          <t>Applicant</t>
        </is>
      </c>
      <c r="E4" s="12" t="inlineStr">
        <is>
          <t>Date of Application</t>
        </is>
      </c>
      <c r="F4" s="12" t="inlineStr">
        <is>
          <t>Date of Ruling</t>
        </is>
      </c>
      <c r="G4" s="12" t="inlineStr">
        <is>
          <t>Year</t>
        </is>
      </c>
      <c r="H4" s="12" t="inlineStr">
        <is>
          <t>Subject</t>
        </is>
      </c>
      <c r="I4" s="12" t="inlineStr">
        <is>
          <t>Issue Type</t>
        </is>
      </c>
      <c r="J4" s="12" t="inlineStr">
        <is>
          <t>Confidence</t>
        </is>
      </c>
      <c r="K4" s="12" t="inlineStr">
        <is>
          <t>Ruling No.</t>
        </is>
      </c>
      <c r="L4" s="12" t="inlineStr">
        <is>
          <t>PDF Link</t>
        </is>
      </c>
      <c r="M4" s="12" t="inlineStr">
        <is>
          <t>PDF?</t>
        </is>
      </c>
    </row>
    <row r="5"/>
  </sheetData>
  <mergeCells count="2">
    <mergeCell ref="A2:M2"/>
    <mergeCell ref="A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2026-05-22T12:45:00Z</dcterms:created>
  <dcterms:modified xsi:type="dcterms:W3CDTF">2026-05-22T12:45:01Z</dcterms:modified>
</cp:coreProperties>
</file>