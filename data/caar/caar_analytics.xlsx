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cords" sheetId="2" state="visible" r:id="rId2"/>
    <sheet name="Mumbai_Rulings" sheetId="3" state="visible" r:id="rId3"/>
    <sheet name="Mumbai_Orders" sheetId="4" state="visible" r:id="rId4"/>
    <sheet name="Delhi_Rulings" sheetId="5" state="visible" r:id="rId5"/>
    <sheet name="Delhi_Or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0E0E0E"/>
      <sz val="18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0E0E0E"/>
      <sz val="22"/>
    </font>
    <font>
      <name val="Calibri"/>
      <b val="1"/>
      <color rgb="00B8974A"/>
      <sz val="12"/>
    </font>
    <font>
      <name val="Calibri"/>
      <b val="1"/>
      <sz val="10"/>
    </font>
    <font>
      <name val="Calibri"/>
      <b val="1"/>
      <color rgb="00B8974A"/>
      <sz val="18"/>
    </font>
    <font>
      <name val="Calibri"/>
      <b val="1"/>
      <color rgb="00B8974A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B8974A"/>
      </patternFill>
    </fill>
  </fills>
  <borders count="2">
    <border>
      <left/>
      <right/>
      <top/>
      <bottom/>
      <diagonal/>
    </border>
    <border>
      <bottom style="medium">
        <color rgb="000E0E0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164" fontId="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bic.gov.in/content/pdf/CONTENTREPO/CAAR/caar-Mum-rul-106-12102026.pdf" TargetMode="External" Id="rId1" /><Relationship Type="http://schemas.openxmlformats.org/officeDocument/2006/relationships/hyperlink" Target="https://www.cbic.gov.in/content/pdf/CONTENTREPO/CAAR/caar-mum-105-08102026.pdf" TargetMode="External" Id="rId2" /><Relationship Type="http://schemas.openxmlformats.org/officeDocument/2006/relationships/hyperlink" Target="https://www.cbic.gov.in/content/pdf/CONTENTREPO/CAAR/caar-Mum-102-103-08102026.pdf" TargetMode="External" Id="rId3" /><Relationship Type="http://schemas.openxmlformats.org/officeDocument/2006/relationships/hyperlink" Target="https://www.cbic.gov.in/content/pdf/CONTENTREPO/CAAR/CAAR_Mum_ARC_100_2026-27.pdf" TargetMode="External" Id="rId4" /><Relationship Type="http://schemas.openxmlformats.org/officeDocument/2006/relationships/hyperlink" Target="https://www.cbic.gov.in/content/pdf/CONTENTREPO/CAAR/CAAR_Mum_ARC_99_29092026.pdf" TargetMode="External" Id="rId5" /><Relationship Type="http://schemas.openxmlformats.org/officeDocument/2006/relationships/hyperlink" Target="https://www.cbic.gov.in/content/pdf/CONTENTREPO/CAAR/CAAR_Mum_ARC_98_29092026.pdf" TargetMode="External" Id="rId6" /><Relationship Type="http://schemas.openxmlformats.org/officeDocument/2006/relationships/hyperlink" Target="https://www.cbic.gov.in/content/pdf/CONTENTREPO/CAAR/CAAR_Mum_ARC_54_15102026.pdf" TargetMode="External" Id="rId7" /><Relationship Type="http://schemas.openxmlformats.org/officeDocument/2006/relationships/hyperlink" Target="https://www.cbic.gov.in/content/pdf/CONTENTREPO/CAAR/caar-mum-ord-53-12102026.pdf" TargetMode="External" Id="rId8" /><Relationship Type="http://schemas.openxmlformats.org/officeDocument/2006/relationships/hyperlink" Target="https://www.cbic.gov.in/content/pdf/CONTENTREPO/CAAR/CAAR_Mum_ARC_52_2026-27.pdf" TargetMode="External" Id="rId9" /><Relationship Type="http://schemas.openxmlformats.org/officeDocument/2006/relationships/hyperlink" Target="https://www.cbic.gov.in/content/pdf/CONTENTREPO/CAAR/caar-mum-ord-51-08102026.pdf" TargetMode="External" Id="rId10" /><Relationship Type="http://schemas.openxmlformats.org/officeDocument/2006/relationships/hyperlink" Target="https://www.cbic.gov.in/content/pdf/CONTENTREPO/CAAR/CAAR_Mum_Melfa_Trading_48_49_50_05102026.pdf" TargetMode="External" Id="rId11" /><Relationship Type="http://schemas.openxmlformats.org/officeDocument/2006/relationships/hyperlink" Target="https://www.cbic.gov.in/content/pdf/CONTENTREPO/CAAR/CAAR_Mum_ARC_47_2026-27.pdf" TargetMode="External" Id="rId12" /><Relationship Type="http://schemas.openxmlformats.org/officeDocument/2006/relationships/hyperlink" Target="https://www.cbic.gov.in/content/pdf/CONTENTREPO/CAAR/CAAR_Mum_ARC_45_46_15092026.pdf" TargetMode="External" Id="rId13" /><Relationship Type="http://schemas.openxmlformats.org/officeDocument/2006/relationships/hyperlink" Target="https://www.cbic.gov.in/content/pdf/CONTENTREPO/CAAR/CAAR_Mum_ARC_40-41-42-43_07092026.pdf" TargetMode="External" Id="rId14" /><Relationship Type="http://schemas.openxmlformats.org/officeDocument/2006/relationships/hyperlink" Target="https://www.cbic.gov.in/content/pdf/CONTENTREPO/CAAR/CAAR_Mum_ARC_36-37-38-39_28082026.pdf" TargetMode="External" Id="rId15" /><Relationship Type="http://schemas.openxmlformats.org/officeDocument/2006/relationships/hyperlink" Target="https://www.cbic.gov.in/content/pdf/CONTENTREPO/CAAR/CAAR_Del_Sunwoda_55_57_06102026.pdf" TargetMode="External" Id="rId16" /><Relationship Type="http://schemas.openxmlformats.org/officeDocument/2006/relationships/hyperlink" Target="https://www.cbic.gov.in/content/pdf/CONTENTREPO/CAAR/CAAR_Del_Mediraw_52_25092026.pdf" TargetMode="External" Id="rId17" /><Relationship Type="http://schemas.openxmlformats.org/officeDocument/2006/relationships/hyperlink" Target="https://www.cbic.gov.in/content/pdf/CONTENTREPO/CAAR/caar-del-51-18092026.pdf" TargetMode="External" Id="rId18" /><Relationship Type="http://schemas.openxmlformats.org/officeDocument/2006/relationships/hyperlink" Target="https://www.cbic.gov.in/content/pdf/CONTENTREPO/CAAR/caar-del-50-08092026.pdf" TargetMode="External" Id="rId19" /><Relationship Type="http://schemas.openxmlformats.org/officeDocument/2006/relationships/hyperlink" Target="https://www.cbic.gov.in/content/pdf/CONTENTREPO/CAAR/CAAR_Del_ARC_44-45_25082026.pdf" TargetMode="External" Id="rId20" /><Relationship Type="http://schemas.openxmlformats.org/officeDocument/2006/relationships/hyperlink" Target="https://www.cbic.gov.in/content/pdf/CONTENTREPO/CAAR/caar-del-ord-57-12102026.pdf" TargetMode="External" Id="rId21" /><Relationship Type="http://schemas.openxmlformats.org/officeDocument/2006/relationships/hyperlink" Target="https://www.cbic.gov.in/content/pdf/CONTENTREPO/CAAR/CAAR_Del_Apple_54_56_06102026.pdf" TargetMode="External" Id="rId22" /><Relationship Type="http://schemas.openxmlformats.org/officeDocument/2006/relationships/hyperlink" Target="https://www.cbic.gov.in/content/pdf/CONTENTREPO/CAAR/CAAR_Del_SR_Sales_49_53_05102026.pdf" TargetMode="External" Id="rId23" /><Relationship Type="http://schemas.openxmlformats.org/officeDocument/2006/relationships/hyperlink" Target="https://www.cbic.gov.in/content/pdf/CONTENTREPO/CAAR/CAAR_Del_ASSpices_46_48_05102026.pdf" TargetMode="External" Id="rId24" /><Relationship Type="http://schemas.openxmlformats.org/officeDocument/2006/relationships/hyperlink" Target="https://www.cbic.gov.in/content/pdf/CONTENTREPO/CAAR/CAAR_Del_Ganpati_41-45_2026-27.pdf" TargetMode="External" Id="rId25" /><Relationship Type="http://schemas.openxmlformats.org/officeDocument/2006/relationships/hyperlink" Target="https://www.cbic.gov.in/content/pdf/CONTENTREPO/CAAR/caar-del-ord-40-28092026.pdf" TargetMode="External" Id="rId26" /><Relationship Type="http://schemas.openxmlformats.org/officeDocument/2006/relationships/hyperlink" Target="https://www.cbic.gov.in/content/pdf/CONTENTREPO/CAAR/CAAR_Del_Golden_37-39_2026-27.pdf" TargetMode="External" Id="rId27" /><Relationship Type="http://schemas.openxmlformats.org/officeDocument/2006/relationships/hyperlink" Target="https://www.cbic.gov.in/content/pdf/CONTENTREPO/CAAR/caar-del-order-32-04082026.pdf" TargetMode="External" Id="rId2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bic.gov.in/content/pdf/CONTENTREPO/CAAR/caar-Mum-rul-106-12102026.pdf" TargetMode="External" Id="rId1" /><Relationship Type="http://schemas.openxmlformats.org/officeDocument/2006/relationships/hyperlink" Target="https://www.cbic.gov.in/content/pdf/CONTENTREPO/CAAR/caar-mum-105-08102026.pdf" TargetMode="External" Id="rId2" /><Relationship Type="http://schemas.openxmlformats.org/officeDocument/2006/relationships/hyperlink" Target="https://www.cbic.gov.in/content/pdf/CONTENTREPO/CAAR/caar-Mum-102-103-08102026.pdf" TargetMode="External" Id="rId3" /><Relationship Type="http://schemas.openxmlformats.org/officeDocument/2006/relationships/hyperlink" Target="https://www.cbic.gov.in/content/pdf/CONTENTREPO/CAAR/CAAR_Mum_ARC_100_2026-27.pdf" TargetMode="External" Id="rId4" /><Relationship Type="http://schemas.openxmlformats.org/officeDocument/2006/relationships/hyperlink" Target="https://www.cbic.gov.in/content/pdf/CONTENTREPO/CAAR/CAAR_Mum_ARC_99_29092026.pdf" TargetMode="External" Id="rId5" /><Relationship Type="http://schemas.openxmlformats.org/officeDocument/2006/relationships/hyperlink" Target="https://www.cbic.gov.in/content/pdf/CONTENTREPO/CAAR/CAAR_Mum_ARC_98_29092026.pdf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bic.gov.in/content/pdf/CONTENTREPO/CAAR/CAAR_Mum_ARC_54_15102026.pdf" TargetMode="External" Id="rId1" /><Relationship Type="http://schemas.openxmlformats.org/officeDocument/2006/relationships/hyperlink" Target="https://www.cbic.gov.in/content/pdf/CONTENTREPO/CAAR/caar-mum-ord-53-12102026.pdf" TargetMode="External" Id="rId2" /><Relationship Type="http://schemas.openxmlformats.org/officeDocument/2006/relationships/hyperlink" Target="https://www.cbic.gov.in/content/pdf/CONTENTREPO/CAAR/CAAR_Mum_ARC_52_2026-27.pdf" TargetMode="External" Id="rId3" /><Relationship Type="http://schemas.openxmlformats.org/officeDocument/2006/relationships/hyperlink" Target="https://www.cbic.gov.in/content/pdf/CONTENTREPO/CAAR/caar-mum-ord-51-08102026.pdf" TargetMode="External" Id="rId4" /><Relationship Type="http://schemas.openxmlformats.org/officeDocument/2006/relationships/hyperlink" Target="https://www.cbic.gov.in/content/pdf/CONTENTREPO/CAAR/CAAR_Mum_Melfa_Trading_48_49_50_05102026.pdf" TargetMode="External" Id="rId5" /><Relationship Type="http://schemas.openxmlformats.org/officeDocument/2006/relationships/hyperlink" Target="https://www.cbic.gov.in/content/pdf/CONTENTREPO/CAAR/CAAR_Mum_ARC_47_2026-27.pdf" TargetMode="External" Id="rId6" /><Relationship Type="http://schemas.openxmlformats.org/officeDocument/2006/relationships/hyperlink" Target="https://www.cbic.gov.in/content/pdf/CONTENTREPO/CAAR/CAAR_Mum_ARC_45_46_15092026.pdf" TargetMode="External" Id="rId7" /><Relationship Type="http://schemas.openxmlformats.org/officeDocument/2006/relationships/hyperlink" Target="https://www.cbic.gov.in/content/pdf/CONTENTREPO/CAAR/CAAR_Mum_ARC_40-41-42-43_07092026.pdf" TargetMode="External" Id="rId8" /><Relationship Type="http://schemas.openxmlformats.org/officeDocument/2006/relationships/hyperlink" Target="https://www.cbic.gov.in/content/pdf/CONTENTREPO/CAAR/CAAR_Mum_ARC_36-37-38-39_28082026.pdf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cbic.gov.in/content/pdf/CONTENTREPO/CAAR/CAAR_Del_Sunwoda_55_57_06102026.pdf" TargetMode="External" Id="rId1" /><Relationship Type="http://schemas.openxmlformats.org/officeDocument/2006/relationships/hyperlink" Target="https://www.cbic.gov.in/content/pdf/CONTENTREPO/CAAR/CAAR_Del_Mediraw_52_25092026.pdf" TargetMode="External" Id="rId2" /><Relationship Type="http://schemas.openxmlformats.org/officeDocument/2006/relationships/hyperlink" Target="https://www.cbic.gov.in/content/pdf/CONTENTREPO/CAAR/caar-del-51-18092026.pdf" TargetMode="External" Id="rId3" /><Relationship Type="http://schemas.openxmlformats.org/officeDocument/2006/relationships/hyperlink" Target="https://www.cbic.gov.in/content/pdf/CONTENTREPO/CAAR/caar-del-50-08092026.pdf" TargetMode="External" Id="rId4" /><Relationship Type="http://schemas.openxmlformats.org/officeDocument/2006/relationships/hyperlink" Target="https://www.cbic.gov.in/content/pdf/CONTENTREPO/CAAR/CAAR_Del_ARC_44-45_25082026.pdf" TargetMode="External" Id="rId5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cbic.gov.in/content/pdf/CONTENTREPO/CAAR/caar-del-ord-57-12102026.pdf" TargetMode="External" Id="rId1" /><Relationship Type="http://schemas.openxmlformats.org/officeDocument/2006/relationships/hyperlink" Target="https://www.cbic.gov.in/content/pdf/CONTENTREPO/CAAR/CAAR_Del_Apple_54_56_06102026.pdf" TargetMode="External" Id="rId2" /><Relationship Type="http://schemas.openxmlformats.org/officeDocument/2006/relationships/hyperlink" Target="https://www.cbic.gov.in/content/pdf/CONTENTREPO/CAAR/CAAR_Del_SR_Sales_49_53_05102026.pdf" TargetMode="External" Id="rId3" /><Relationship Type="http://schemas.openxmlformats.org/officeDocument/2006/relationships/hyperlink" Target="https://www.cbic.gov.in/content/pdf/CONTENTREPO/CAAR/CAAR_Del_ASSpices_46_48_05102026.pdf" TargetMode="External" Id="rId4" /><Relationship Type="http://schemas.openxmlformats.org/officeDocument/2006/relationships/hyperlink" Target="https://www.cbic.gov.in/content/pdf/CONTENTREPO/CAAR/CAAR_Del_Ganpati_41-45_2026-27.pdf" TargetMode="External" Id="rId5" /><Relationship Type="http://schemas.openxmlformats.org/officeDocument/2006/relationships/hyperlink" Target="https://www.cbic.gov.in/content/pdf/CONTENTREPO/CAAR/caar-del-ord-40-28092026.pdf" TargetMode="External" Id="rId6" /><Relationship Type="http://schemas.openxmlformats.org/officeDocument/2006/relationships/hyperlink" Target="https://www.cbic.gov.in/content/pdf/CONTENTREPO/CAAR/CAAR_Del_Golden_37-39_2026-27.pdf" TargetMode="External" Id="rId7" /><Relationship Type="http://schemas.openxmlformats.org/officeDocument/2006/relationships/hyperlink" Target="https://www.cbic.gov.in/content/pdf/CONTENTREPO/CAAR/caar-del-order-32-04082026.pdf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</cols>
  <sheetData>
    <row r="1" ht="30" customHeight="1">
      <c r="A1" s="1" t="inlineStr">
        <is>
          <t>CAAR Litigation Analytics</t>
        </is>
      </c>
    </row>
    <row r="2">
      <c r="A2" s="2" t="inlineStr">
        <is>
          <t>Auto-refreshing summary from 953+ records across Mumbai and Delhi CAAR</t>
        </is>
      </c>
    </row>
    <row r="4">
      <c r="A4" s="3" t="inlineStr">
        <is>
          <t>OVERVIEW</t>
        </is>
      </c>
    </row>
    <row r="5">
      <c r="A5" s="4" t="inlineStr">
        <is>
          <t>Total Records</t>
        </is>
      </c>
      <c r="B5" s="5">
        <f>COUNTA('All Records'!A5:A2000)</f>
        <v/>
      </c>
    </row>
    <row r="6">
      <c r="A6" s="4" t="inlineStr">
        <is>
          <t>With PDF Available</t>
        </is>
      </c>
      <c r="B6" s="6">
        <f>COUNTIF('All Records'!M5:M2000,"YES")</f>
        <v/>
      </c>
    </row>
    <row r="8">
      <c r="A8" s="3" t="inlineStr">
        <is>
          <t>BY SECTION</t>
        </is>
      </c>
    </row>
    <row r="9">
      <c r="A9" s="7" t="inlineStr">
        <is>
          <t>Section</t>
        </is>
      </c>
      <c r="B9" s="7" t="inlineStr">
        <is>
          <t>Count</t>
        </is>
      </c>
      <c r="C9" s="7" t="inlineStr">
        <is>
          <t>With PDF</t>
        </is>
      </c>
      <c r="D9" s="7" t="inlineStr">
        <is>
          <t>PDF %</t>
        </is>
      </c>
    </row>
    <row r="10">
      <c r="A10" t="inlineStr">
        <is>
          <t>Mumbai Rulings</t>
        </is>
      </c>
      <c r="B10">
        <f>COUNTA('Mumbai_Rulings'!A5:A2000)</f>
        <v/>
      </c>
      <c r="C10">
        <f>COUNTIF('Mumbai_Rulings'!M5:M2000,"YES")</f>
        <v/>
      </c>
      <c r="D10" s="8">
        <f>IFERROR(C10/B10,0)</f>
        <v/>
      </c>
    </row>
    <row r="11">
      <c r="A11" t="inlineStr">
        <is>
          <t>Mumbai Orders</t>
        </is>
      </c>
      <c r="B11">
        <f>COUNTA('Mumbai_Orders'!A5:A2000)</f>
        <v/>
      </c>
      <c r="C11">
        <f>COUNTIF('Mumbai_Orders'!M5:M2000,"YES")</f>
        <v/>
      </c>
      <c r="D11" s="8">
        <f>IFERROR(C11/B11,0)</f>
        <v/>
      </c>
    </row>
    <row r="12">
      <c r="A12" t="inlineStr">
        <is>
          <t>Delhi Rulings</t>
        </is>
      </c>
      <c r="B12">
        <f>COUNTA('Delhi_Rulings'!A5:A2000)</f>
        <v/>
      </c>
      <c r="C12">
        <f>COUNTIF('Delhi_Rulings'!M5:M2000,"YES")</f>
        <v/>
      </c>
      <c r="D12" s="8">
        <f>IFERROR(C12/B12,0)</f>
        <v/>
      </c>
    </row>
    <row r="13">
      <c r="A13" t="inlineStr">
        <is>
          <t>Delhi Orders</t>
        </is>
      </c>
      <c r="B13">
        <f>COUNTA('Delhi_Orders'!A5:A2000)</f>
        <v/>
      </c>
      <c r="C13">
        <f>COUNTIF('Delhi_Orders'!M5:M2000,"YES")</f>
        <v/>
      </c>
      <c r="D13" s="8">
        <f>IFERROR(C13/B13,0)</f>
        <v/>
      </c>
    </row>
    <row r="14">
      <c r="A14" s="9" t="inlineStr">
        <is>
          <t>TOTAL</t>
        </is>
      </c>
      <c r="B14" s="9">
        <f>SUM(B10:B13)</f>
        <v/>
      </c>
      <c r="C14" s="9">
        <f>SUM(C10:C13)</f>
        <v/>
      </c>
      <c r="D14" s="10">
        <f>IFERROR(C14/B14,0)</f>
        <v/>
      </c>
    </row>
    <row r="16">
      <c r="A16" s="3" t="inlineStr">
        <is>
          <t>BY ISSUE TYPE</t>
        </is>
      </c>
    </row>
    <row r="17">
      <c r="A17" s="7" t="inlineStr">
        <is>
          <t>Issue Type</t>
        </is>
      </c>
      <c r="B17" s="7" t="inlineStr">
        <is>
          <t>Count</t>
        </is>
      </c>
      <c r="C17" s="7" t="inlineStr">
        <is>
          <t>Share</t>
        </is>
      </c>
    </row>
    <row r="18">
      <c r="A18" t="inlineStr">
        <is>
          <t>Classification</t>
        </is>
      </c>
      <c r="B18">
        <f>COUNTIF('All Records'!I5:I2000,"Classification")</f>
        <v/>
      </c>
      <c r="C18" s="8">
        <f>IFERROR(B18/40,0)</f>
        <v/>
      </c>
    </row>
    <row r="19">
      <c r="A19" t="inlineStr">
        <is>
          <t>Unspecified</t>
        </is>
      </c>
      <c r="B19">
        <f>COUNTIF('All Records'!I5:I2000,"Unspecified")</f>
        <v/>
      </c>
      <c r="C19" s="8">
        <f>IFERROR(B19/40,0)</f>
        <v/>
      </c>
    </row>
    <row r="20">
      <c r="A20" t="inlineStr">
        <is>
          <t>Exemption</t>
        </is>
      </c>
      <c r="B20">
        <f>COUNTIF('All Records'!I5:I2000,"Exemption")</f>
        <v/>
      </c>
      <c r="C20" s="8">
        <f>IFERROR(B20/40,0)</f>
        <v/>
      </c>
    </row>
    <row r="22">
      <c r="A22" s="3" t="inlineStr">
        <is>
          <t>BY YEAR</t>
        </is>
      </c>
    </row>
    <row r="23">
      <c r="A23" s="7" t="inlineStr">
        <is>
          <t>Year</t>
        </is>
      </c>
      <c r="B23" s="7" t="inlineStr">
        <is>
          <t>Total</t>
        </is>
      </c>
      <c r="C23" s="7" t="inlineStr">
        <is>
          <t>Mumbai</t>
        </is>
      </c>
      <c r="D23" s="7" t="inlineStr">
        <is>
          <t>Delhi</t>
        </is>
      </c>
    </row>
    <row r="24">
      <c r="A24" t="inlineStr">
        <is>
          <t>2026</t>
        </is>
      </c>
      <c r="B24">
        <f>COUNTIF('All Records'!G5:G2000,"2026")</f>
        <v/>
      </c>
      <c r="C24">
        <f>COUNTIFS('All Records'!G5:G2000,"2026",'All Records'!A5:A2000,"Mumbai*")</f>
        <v/>
      </c>
      <c r="D24">
        <f>COUNTIFS('All Records'!G5:G2000,"2026",'All Records'!A5:A2000,"Delhi*")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4" customWidth="1" min="2" max="2"/>
    <col width="4" customWidth="1" min="3" max="3"/>
    <col width="35" customWidth="1" min="4" max="4"/>
    <col width="13" customWidth="1" min="5" max="5"/>
    <col width="13" customWidth="1" min="6" max="6"/>
    <col width="7" customWidth="1" min="7" max="7"/>
    <col width="50" customWidth="1" min="8" max="8"/>
    <col width="16" customWidth="1" min="9" max="9"/>
    <col width="11" customWidth="1" min="10" max="10"/>
    <col width="28" customWidth="1" min="11" max="11"/>
    <col width="35" customWidth="1" min="12" max="12"/>
    <col width="7" customWidth="1" min="13" max="13"/>
  </cols>
  <sheetData>
    <row r="1" ht="24" customHeight="1">
      <c r="A1" s="11" t="inlineStr">
        <is>
          <t>CAAR Litigation Analytics  -  All Records (All Benches and Types)</t>
        </is>
      </c>
    </row>
    <row r="2">
      <c r="A2" s="2" t="inlineStr">
        <is>
          <t>40 records</t>
        </is>
      </c>
    </row>
    <row r="4" ht="32" customHeight="1">
      <c r="A4" s="12" t="inlineStr">
        <is>
          <t>Section</t>
        </is>
      </c>
      <c r="B4" s="12" t="inlineStr">
        <is>
          <t>Pg</t>
        </is>
      </c>
      <c r="C4" s="12" t="inlineStr">
        <is>
          <t>Sl</t>
        </is>
      </c>
      <c r="D4" s="12" t="inlineStr">
        <is>
          <t>Applicant</t>
        </is>
      </c>
      <c r="E4" s="12" t="inlineStr">
        <is>
          <t>Date of Application</t>
        </is>
      </c>
      <c r="F4" s="12" t="inlineStr">
        <is>
          <t>Date of Ruling</t>
        </is>
      </c>
      <c r="G4" s="12" t="inlineStr">
        <is>
          <t>Year</t>
        </is>
      </c>
      <c r="H4" s="12" t="inlineStr">
        <is>
          <t>Subject</t>
        </is>
      </c>
      <c r="I4" s="12" t="inlineStr">
        <is>
          <t>Issue Type</t>
        </is>
      </c>
      <c r="J4" s="12" t="inlineStr">
        <is>
          <t>Confidence</t>
        </is>
      </c>
      <c r="K4" s="12" t="inlineStr">
        <is>
          <t>Ruling No.</t>
        </is>
      </c>
      <c r="L4" s="12" t="inlineStr">
        <is>
          <t>PDF Link</t>
        </is>
      </c>
      <c r="M4" s="12" t="inlineStr">
        <is>
          <t>PDF?</t>
        </is>
      </c>
    </row>
    <row r="5">
      <c r="A5" s="13" t="inlineStr">
        <is>
          <t>Mumbai Rulings</t>
        </is>
      </c>
      <c r="B5" s="13" t="inlineStr">
        <is>
          <t>1</t>
        </is>
      </c>
      <c r="C5" s="13" t="inlineStr">
        <is>
          <t>1</t>
        </is>
      </c>
      <c r="D5" s="13" t="inlineStr">
        <is>
          <t>Siemens Limited</t>
        </is>
      </c>
      <c r="E5" s="13" t="inlineStr">
        <is>
          <t>27.03.2026</t>
        </is>
      </c>
      <c r="F5" s="13" t="inlineStr">
        <is>
          <t>08.10.2026</t>
        </is>
      </c>
      <c r="G5" s="13" t="inlineStr">
        <is>
          <t>2026</t>
        </is>
      </c>
      <c r="H5" s="13" t="inlineStr">
        <is>
          <t>Import of the following products for use in manufacture and assembly of Industrial Computing Platfor</t>
        </is>
      </c>
      <c r="I5" s="13" t="inlineStr">
        <is>
          <t>Classification</t>
        </is>
      </c>
      <c r="J5" s="13" t="inlineStr">
        <is>
          <t>inferred</t>
        </is>
      </c>
      <c r="K5" s="13" t="inlineStr">
        <is>
          <t>CAAR/Mum/ARC/106/2026</t>
        </is>
      </c>
      <c r="L5" s="14" t="inlineStr">
        <is>
          <t>https://www.cbic.gov.in/content/pdf/CONTENTREPO/CAAR/caar-Mum-rul-106-12102026.pdf</t>
        </is>
      </c>
      <c r="M5" s="13" t="inlineStr">
        <is>
          <t>YES</t>
        </is>
      </c>
    </row>
    <row r="6">
      <c r="A6" s="13" t="inlineStr">
        <is>
          <t>Mumbai Rulings</t>
        </is>
      </c>
      <c r="B6" s="13" t="inlineStr">
        <is>
          <t>1</t>
        </is>
      </c>
      <c r="C6" s="13" t="inlineStr">
        <is>
          <t>2</t>
        </is>
      </c>
      <c r="D6" s="13" t="inlineStr">
        <is>
          <t>BPIN Private Limited</t>
        </is>
      </c>
      <c r="E6" s="13" t="inlineStr">
        <is>
          <t>25.02.2026</t>
        </is>
      </c>
      <c r="F6" s="13" t="inlineStr">
        <is>
          <t>07.10.2026</t>
        </is>
      </c>
      <c r="G6" s="13" t="inlineStr">
        <is>
          <t>2026</t>
        </is>
      </c>
      <c r="H6" s="13" t="inlineStr">
        <is>
          <t>Import of 'Car Radio Units' in semi-knocked down (SKD) condition</t>
        </is>
      </c>
      <c r="I6" s="13" t="inlineStr">
        <is>
          <t>Classification</t>
        </is>
      </c>
      <c r="J6" s="13" t="inlineStr">
        <is>
          <t>inferred</t>
        </is>
      </c>
      <c r="K6" s="13" t="inlineStr">
        <is>
          <t>CAAR/Mum/ARC/104 &amp; 105/2026</t>
        </is>
      </c>
      <c r="L6" s="14" t="inlineStr">
        <is>
          <t>https://www.cbic.gov.in/content/pdf/CONTENTREPO/CAAR/caar-mum-105-08102026.pdf</t>
        </is>
      </c>
      <c r="M6" s="13" t="inlineStr">
        <is>
          <t>YES</t>
        </is>
      </c>
    </row>
    <row r="7">
      <c r="A7" s="13" t="inlineStr">
        <is>
          <t>Mumbai Rulings</t>
        </is>
      </c>
      <c r="B7" s="13" t="inlineStr">
        <is>
          <t>1</t>
        </is>
      </c>
      <c r="C7" s="13" t="inlineStr">
        <is>
          <t>3</t>
        </is>
      </c>
      <c r="D7" s="13" t="inlineStr">
        <is>
          <t>Sanmina-SCI India Private Limited</t>
        </is>
      </c>
      <c r="E7" s="13" t="inlineStr">
        <is>
          <t>21.04.2026</t>
        </is>
      </c>
      <c r="F7" s="13" t="inlineStr">
        <is>
          <t>06.10.2026</t>
        </is>
      </c>
      <c r="G7" s="13" t="inlineStr">
        <is>
          <t>2026</t>
        </is>
      </c>
      <c r="H7" s="13" t="inlineStr">
        <is>
          <t>Classification of the storage-servers and the applicability of Serial No.39 of Notification No. 24/2</t>
        </is>
      </c>
      <c r="I7" s="13" t="inlineStr">
        <is>
          <t>Exemption</t>
        </is>
      </c>
      <c r="J7" s="13" t="inlineStr">
        <is>
          <t>explicit</t>
        </is>
      </c>
      <c r="K7" s="13" t="inlineStr">
        <is>
          <t>CAAR/Mum/ARC/102 &amp; 103/2026</t>
        </is>
      </c>
      <c r="L7" s="14" t="inlineStr">
        <is>
          <t>https://www.cbic.gov.in/content/pdf/CONTENTREPO/CAAR/caar-Mum-102-103-08102026.pdf</t>
        </is>
      </c>
      <c r="M7" s="13" t="inlineStr">
        <is>
          <t>YES</t>
        </is>
      </c>
    </row>
    <row r="8">
      <c r="A8" s="13" t="inlineStr">
        <is>
          <t>Mumbai Rulings</t>
        </is>
      </c>
      <c r="B8" s="13" t="inlineStr">
        <is>
          <t>1</t>
        </is>
      </c>
      <c r="C8" s="13" t="inlineStr">
        <is>
          <t>4</t>
        </is>
      </c>
      <c r="D8" s="13" t="inlineStr">
        <is>
          <t>ORANGE INKJET SOLUTIONS PRIVATE LIMITED</t>
        </is>
      </c>
      <c r="E8" s="13" t="inlineStr">
        <is>
          <t>27.02.2026</t>
        </is>
      </c>
      <c r="F8" s="13" t="inlineStr">
        <is>
          <t>30.09.2026</t>
        </is>
      </c>
      <c r="G8" s="13" t="inlineStr">
        <is>
          <t>2026</t>
        </is>
      </c>
      <c r="H8" s="13" t="inlineStr">
        <is>
          <t>Classification of Ink-Jet Printers.</t>
        </is>
      </c>
      <c r="I8" s="13" t="inlineStr">
        <is>
          <t>Classification</t>
        </is>
      </c>
      <c r="J8" s="13" t="inlineStr">
        <is>
          <t>explicit</t>
        </is>
      </c>
      <c r="K8" s="13" t="inlineStr">
        <is>
          <t>CAAR/Mum/ARC/101/2026-27</t>
        </is>
      </c>
      <c r="L8" s="13" t="inlineStr"/>
      <c r="M8" s="13" t="inlineStr">
        <is>
          <t>NO</t>
        </is>
      </c>
    </row>
    <row r="9">
      <c r="A9" s="13" t="inlineStr">
        <is>
          <t>Mumbai Rulings</t>
        </is>
      </c>
      <c r="B9" s="13" t="inlineStr">
        <is>
          <t>1</t>
        </is>
      </c>
      <c r="C9" s="13" t="inlineStr">
        <is>
          <t>5</t>
        </is>
      </c>
      <c r="D9" s="13" t="inlineStr">
        <is>
          <t>Halton India Private Limited</t>
        </is>
      </c>
      <c r="E9" s="13" t="inlineStr">
        <is>
          <t>05.01.2026</t>
        </is>
      </c>
      <c r="F9" s="13" t="inlineStr">
        <is>
          <t>29.09.2026</t>
        </is>
      </c>
      <c r="G9" s="13" t="inlineStr">
        <is>
          <t>2026</t>
        </is>
      </c>
      <c r="H9" s="13" t="inlineStr">
        <is>
          <t>classification of "Kitchen Exhaust Hoods with different Models".</t>
        </is>
      </c>
      <c r="I9" s="13" t="inlineStr">
        <is>
          <t>Classification</t>
        </is>
      </c>
      <c r="J9" s="13" t="inlineStr">
        <is>
          <t>explicit</t>
        </is>
      </c>
      <c r="K9" s="13" t="inlineStr">
        <is>
          <t>CAAR/Mum/ARC/100/2026</t>
        </is>
      </c>
      <c r="L9" s="14" t="inlineStr">
        <is>
          <t>https://www.cbic.gov.in/content/pdf/CONTENTREPO/CAAR/CAAR_Mum_ARC_100_2026-27.pdf</t>
        </is>
      </c>
      <c r="M9" s="13" t="inlineStr">
        <is>
          <t>YES</t>
        </is>
      </c>
    </row>
    <row r="10">
      <c r="A10" s="13" t="inlineStr">
        <is>
          <t>Mumbai Rulings</t>
        </is>
      </c>
      <c r="B10" s="13" t="inlineStr">
        <is>
          <t>1</t>
        </is>
      </c>
      <c r="C10" s="13" t="inlineStr">
        <is>
          <t>6</t>
        </is>
      </c>
      <c r="D10" s="13" t="inlineStr">
        <is>
          <t>M/s.Radiant Enterprises</t>
        </is>
      </c>
      <c r="E10" s="13" t="inlineStr">
        <is>
          <t>03.02.2026</t>
        </is>
      </c>
      <c r="F10" s="13" t="inlineStr">
        <is>
          <t>28.09.2026</t>
        </is>
      </c>
      <c r="G10" s="13" t="inlineStr">
        <is>
          <t>2026</t>
        </is>
      </c>
      <c r="H10" s="13" t="inlineStr">
        <is>
          <t>Classification of a) wifi communication modules, (b) cellular communication modules, and (c) navigat</t>
        </is>
      </c>
      <c r="I10" s="13" t="inlineStr">
        <is>
          <t>Classification</t>
        </is>
      </c>
      <c r="J10" s="13" t="inlineStr">
        <is>
          <t>explicit</t>
        </is>
      </c>
      <c r="K10" s="13" t="inlineStr">
        <is>
          <t>CAAR/Mum/ARC/99/2026</t>
        </is>
      </c>
      <c r="L10" s="14" t="inlineStr">
        <is>
          <t>https://www.cbic.gov.in/content/pdf/CONTENTREPO/CAAR/CAAR_Mum_ARC_99_29092026.pdf</t>
        </is>
      </c>
      <c r="M10" s="13" t="inlineStr">
        <is>
          <t>YES</t>
        </is>
      </c>
    </row>
    <row r="11">
      <c r="A11" s="13" t="inlineStr">
        <is>
          <t>Mumbai Rulings</t>
        </is>
      </c>
      <c r="B11" s="13" t="inlineStr">
        <is>
          <t>1</t>
        </is>
      </c>
      <c r="C11" s="13" t="inlineStr">
        <is>
          <t>7</t>
        </is>
      </c>
      <c r="D11" s="13" t="inlineStr">
        <is>
          <t>M/s.Pinaka Aerospace Solutions Pvt. Ltd.</t>
        </is>
      </c>
      <c r="E11" s="13" t="inlineStr">
        <is>
          <t>17.02.2026</t>
        </is>
      </c>
      <c r="F11" s="13" t="inlineStr">
        <is>
          <t>25.09.2026</t>
        </is>
      </c>
      <c r="G11" s="13" t="inlineStr">
        <is>
          <t>2026</t>
        </is>
      </c>
      <c r="H11" s="13" t="inlineStr">
        <is>
          <t>Import of Aircraft components-MILDS F SUOF Lens V2, Front End (M2FE) V2.11 and MILDS F SUII Coupled</t>
        </is>
      </c>
      <c r="I11" s="13" t="inlineStr">
        <is>
          <t>Classification</t>
        </is>
      </c>
      <c r="J11" s="13" t="inlineStr">
        <is>
          <t>inferred</t>
        </is>
      </c>
      <c r="K11" s="13" t="inlineStr">
        <is>
          <t>CAAR/Mum/ARC/98/2026</t>
        </is>
      </c>
      <c r="L11" s="14" t="inlineStr">
        <is>
          <t>https://www.cbic.gov.in/content/pdf/CONTENTREPO/CAAR/CAAR_Mum_ARC_98_29092026.pdf</t>
        </is>
      </c>
      <c r="M11" s="13" t="inlineStr">
        <is>
          <t>YES</t>
        </is>
      </c>
    </row>
    <row r="12">
      <c r="A12" s="13" t="inlineStr">
        <is>
          <t>Mumbai Rulings</t>
        </is>
      </c>
      <c r="B12" s="13" t="inlineStr">
        <is>
          <t>1</t>
        </is>
      </c>
      <c r="C12" s="13" t="inlineStr">
        <is>
          <t>8</t>
        </is>
      </c>
      <c r="D12" s="13" t="inlineStr">
        <is>
          <t>M/s. Global Exim</t>
        </is>
      </c>
      <c r="E12" s="13" t="inlineStr">
        <is>
          <t>08.07.2026</t>
        </is>
      </c>
      <c r="F12" s="13" t="inlineStr">
        <is>
          <t>25.09.2026</t>
        </is>
      </c>
      <c r="G12" s="13" t="inlineStr">
        <is>
          <t>2026</t>
        </is>
      </c>
      <c r="H12" s="13" t="inlineStr">
        <is>
          <t>Classification of product described as 'Pea Protein-85%'.</t>
        </is>
      </c>
      <c r="I12" s="13" t="inlineStr">
        <is>
          <t>Classification</t>
        </is>
      </c>
      <c r="J12" s="13" t="inlineStr">
        <is>
          <t>explicit</t>
        </is>
      </c>
      <c r="K12" s="13" t="inlineStr">
        <is>
          <t>CAAR/Mum/ARC/97/2026-27</t>
        </is>
      </c>
      <c r="L12" s="13" t="inlineStr"/>
      <c r="M12" s="13" t="inlineStr">
        <is>
          <t>NO</t>
        </is>
      </c>
    </row>
    <row r="13">
      <c r="A13" s="13" t="inlineStr">
        <is>
          <t>Mumbai Rulings</t>
        </is>
      </c>
      <c r="B13" s="13" t="inlineStr">
        <is>
          <t>1</t>
        </is>
      </c>
      <c r="C13" s="13" t="inlineStr">
        <is>
          <t>9</t>
        </is>
      </c>
      <c r="D13" s="13" t="inlineStr">
        <is>
          <t>M/s. Global Exim</t>
        </is>
      </c>
      <c r="E13" s="13" t="inlineStr">
        <is>
          <t>08.07.2026</t>
        </is>
      </c>
      <c r="F13" s="13" t="inlineStr">
        <is>
          <t>25.09.2026</t>
        </is>
      </c>
      <c r="G13" s="13" t="inlineStr">
        <is>
          <t>2026</t>
        </is>
      </c>
      <c r="H13" s="13" t="inlineStr">
        <is>
          <t>Classification of product described as 'Monk Fruit Extract'</t>
        </is>
      </c>
      <c r="I13" s="13" t="inlineStr">
        <is>
          <t>Classification</t>
        </is>
      </c>
      <c r="J13" s="13" t="inlineStr">
        <is>
          <t>explicit</t>
        </is>
      </c>
      <c r="K13" s="13" t="inlineStr">
        <is>
          <t>CAAR/Mum/ARC/96/2026-27</t>
        </is>
      </c>
      <c r="L13" s="13" t="inlineStr"/>
      <c r="M13" s="13" t="inlineStr">
        <is>
          <t>NO</t>
        </is>
      </c>
    </row>
    <row r="14">
      <c r="A14" s="13" t="inlineStr">
        <is>
          <t>Mumbai Rulings</t>
        </is>
      </c>
      <c r="B14" s="13" t="inlineStr">
        <is>
          <t>1</t>
        </is>
      </c>
      <c r="C14" s="13" t="inlineStr">
        <is>
          <t>10</t>
        </is>
      </c>
      <c r="D14" s="13" t="inlineStr">
        <is>
          <t>M/s. SEYFERT GLOBAL PRIVATE LIMITED</t>
        </is>
      </c>
      <c r="E14" s="13" t="inlineStr">
        <is>
          <t>29.06.2026</t>
        </is>
      </c>
      <c r="F14" s="13" t="inlineStr">
        <is>
          <t>24.09.2026</t>
        </is>
      </c>
      <c r="G14" s="13" t="inlineStr">
        <is>
          <t>2026</t>
        </is>
      </c>
      <c r="H14" s="13" t="inlineStr">
        <is>
          <t>Classification of cashew kernels Cashew Nuts Broken (Large and Small Broken Pieces)</t>
        </is>
      </c>
      <c r="I14" s="13" t="inlineStr">
        <is>
          <t>Classification</t>
        </is>
      </c>
      <c r="J14" s="13" t="inlineStr">
        <is>
          <t>explicit</t>
        </is>
      </c>
      <c r="K14" s="13" t="inlineStr">
        <is>
          <t>CAAR/Mum/ARC/95/2026-27</t>
        </is>
      </c>
      <c r="L14" s="13" t="inlineStr"/>
      <c r="M14" s="13" t="inlineStr">
        <is>
          <t>NO</t>
        </is>
      </c>
    </row>
    <row r="15">
      <c r="A15" s="13" t="inlineStr">
        <is>
          <t>Mumbai Orders</t>
        </is>
      </c>
      <c r="B15" s="13" t="inlineStr">
        <is>
          <t>1</t>
        </is>
      </c>
      <c r="C15" s="13" t="inlineStr">
        <is>
          <t>1</t>
        </is>
      </c>
      <c r="D15" s="13" t="inlineStr">
        <is>
          <t>Gangwal Healthcare Private Limited</t>
        </is>
      </c>
      <c r="E15" s="13" t="inlineStr">
        <is>
          <t>27.05.2026</t>
        </is>
      </c>
      <c r="F15" s="13" t="inlineStr">
        <is>
          <t>13.10.2026</t>
        </is>
      </c>
      <c r="G15" s="13" t="inlineStr">
        <is>
          <t>2026</t>
        </is>
      </c>
      <c r="H15" s="13" t="inlineStr">
        <is>
          <t>Proposed import 'Avonlac 282' which is the primary raw material for manufacturing the health supplem</t>
        </is>
      </c>
      <c r="I15" s="13" t="inlineStr">
        <is>
          <t>Classification</t>
        </is>
      </c>
      <c r="J15" s="13" t="inlineStr">
        <is>
          <t>inferred</t>
        </is>
      </c>
      <c r="K15" s="13" t="inlineStr">
        <is>
          <t>CAAR/Mum/ARC/54/2026-27</t>
        </is>
      </c>
      <c r="L15" s="14" t="inlineStr">
        <is>
          <t>https://www.cbic.gov.in/content/pdf/CONTENTREPO/CAAR/CAAR_Mum_ARC_54_15102026.pdf</t>
        </is>
      </c>
      <c r="M15" s="13" t="inlineStr">
        <is>
          <t>YES</t>
        </is>
      </c>
    </row>
    <row r="16">
      <c r="A16" s="13" t="inlineStr">
        <is>
          <t>Mumbai Orders</t>
        </is>
      </c>
      <c r="B16" s="13" t="inlineStr">
        <is>
          <t>1</t>
        </is>
      </c>
      <c r="C16" s="13" t="inlineStr">
        <is>
          <t>2</t>
        </is>
      </c>
      <c r="D16" s="13" t="inlineStr">
        <is>
          <t>M/s. ENVORA EXIM</t>
        </is>
      </c>
      <c r="E16" s="13" t="inlineStr">
        <is>
          <t>13.07.2026</t>
        </is>
      </c>
      <c r="F16" s="13" t="inlineStr">
        <is>
          <t>08.10.2026</t>
        </is>
      </c>
      <c r="G16" s="13" t="inlineStr">
        <is>
          <t>2026</t>
        </is>
      </c>
      <c r="H16" s="13" t="inlineStr">
        <is>
          <t>Imports of 'Roasted Areca Nuts- HS code: 2008 1991</t>
        </is>
      </c>
      <c r="I16" s="13" t="inlineStr">
        <is>
          <t>Classification</t>
        </is>
      </c>
      <c r="J16" s="13" t="inlineStr">
        <is>
          <t>explicit</t>
        </is>
      </c>
      <c r="K16" s="13" t="inlineStr">
        <is>
          <t>CAAR/Mum/ARC/53/2026-27</t>
        </is>
      </c>
      <c r="L16" s="14" t="inlineStr">
        <is>
          <t>https://www.cbic.gov.in/content/pdf/CONTENTREPO/CAAR/caar-mum-ord-53-12102026.pdf</t>
        </is>
      </c>
      <c r="M16" s="13" t="inlineStr">
        <is>
          <t>YES</t>
        </is>
      </c>
    </row>
    <row r="17">
      <c r="A17" s="13" t="inlineStr">
        <is>
          <t>Mumbai Orders</t>
        </is>
      </c>
      <c r="B17" s="13" t="inlineStr">
        <is>
          <t>1</t>
        </is>
      </c>
      <c r="C17" s="13" t="inlineStr">
        <is>
          <t>3</t>
        </is>
      </c>
      <c r="D17" s="13" t="inlineStr">
        <is>
          <t>Rashi Peripherals Limited</t>
        </is>
      </c>
      <c r="E17" s="13" t="inlineStr">
        <is>
          <t>08.05.2026</t>
        </is>
      </c>
      <c r="F17" s="13" t="inlineStr">
        <is>
          <t>07.10.2026</t>
        </is>
      </c>
      <c r="G17" s="13" t="inlineStr">
        <is>
          <t>2026</t>
        </is>
      </c>
      <c r="H17" s="13" t="inlineStr">
        <is>
          <t>Import of 'LTE CAT/GSM Modules'.</t>
        </is>
      </c>
      <c r="I17" s="13" t="inlineStr">
        <is>
          <t>Classification</t>
        </is>
      </c>
      <c r="J17" s="13" t="inlineStr">
        <is>
          <t>inferred</t>
        </is>
      </c>
      <c r="K17" s="13" t="inlineStr">
        <is>
          <t>CAAR/Mum/ARC/52/2026-27</t>
        </is>
      </c>
      <c r="L17" s="14" t="inlineStr">
        <is>
          <t>https://www.cbic.gov.in/content/pdf/CONTENTREPO/CAAR/CAAR_Mum_ARC_52_2026-27.pdf</t>
        </is>
      </c>
      <c r="M17" s="13" t="inlineStr">
        <is>
          <t>YES</t>
        </is>
      </c>
    </row>
    <row r="18">
      <c r="A18" s="13" t="inlineStr">
        <is>
          <t>Mumbai Orders</t>
        </is>
      </c>
      <c r="B18" s="13" t="inlineStr">
        <is>
          <t>1</t>
        </is>
      </c>
      <c r="C18" s="13" t="inlineStr">
        <is>
          <t>4</t>
        </is>
      </c>
      <c r="D18" s="13" t="inlineStr">
        <is>
          <t>TECEX INDIA PRIVATE LIMITED</t>
        </is>
      </c>
      <c r="E18" s="13" t="inlineStr">
        <is>
          <t>12.01.2026</t>
        </is>
      </c>
      <c r="F18" s="13" t="inlineStr">
        <is>
          <t>06.10.2026</t>
        </is>
      </c>
      <c r="G18" s="13" t="inlineStr">
        <is>
          <t>2026</t>
        </is>
      </c>
      <c r="H18" s="13" t="inlineStr">
        <is>
          <t>Classification of Integrated Rack Server</t>
        </is>
      </c>
      <c r="I18" s="13" t="inlineStr">
        <is>
          <t>Classification</t>
        </is>
      </c>
      <c r="J18" s="13" t="inlineStr">
        <is>
          <t>explicit</t>
        </is>
      </c>
      <c r="K18" s="13" t="inlineStr">
        <is>
          <t>CAAR/Mum/ARC/51/2026-27</t>
        </is>
      </c>
      <c r="L18" s="14" t="inlineStr">
        <is>
          <t>https://www.cbic.gov.in/content/pdf/CONTENTREPO/CAAR/caar-mum-ord-51-08102026.pdf</t>
        </is>
      </c>
      <c r="M18" s="13" t="inlineStr">
        <is>
          <t>YES</t>
        </is>
      </c>
    </row>
    <row r="19">
      <c r="A19" s="13" t="inlineStr">
        <is>
          <t>Mumbai Orders</t>
        </is>
      </c>
      <c r="B19" s="13" t="inlineStr">
        <is>
          <t>1</t>
        </is>
      </c>
      <c r="C19" s="13" t="inlineStr">
        <is>
          <t>5</t>
        </is>
      </c>
      <c r="D19" s="13" t="inlineStr">
        <is>
          <t>M/s Melfa Trading Impex Private Limited</t>
        </is>
      </c>
      <c r="E19" s="13" t="inlineStr">
        <is>
          <t>07.05.2026</t>
        </is>
      </c>
      <c r="F19" s="13" t="inlineStr">
        <is>
          <t>30.09.2026</t>
        </is>
      </c>
      <c r="G19" s="13" t="inlineStr">
        <is>
          <t>2026</t>
        </is>
      </c>
      <c r="H19" s="13" t="inlineStr">
        <is>
          <t>Import of 'Oven Roasted Areca Nuts'</t>
        </is>
      </c>
      <c r="I19" s="13" t="inlineStr">
        <is>
          <t>Classification</t>
        </is>
      </c>
      <c r="J19" s="13" t="inlineStr">
        <is>
          <t>inferred</t>
        </is>
      </c>
      <c r="K19" s="13" t="inlineStr">
        <is>
          <t>CAAR/Mum/ARC/48, 49 &amp; 50/2026-27</t>
        </is>
      </c>
      <c r="L19" s="14" t="inlineStr">
        <is>
          <t>https://www.cbic.gov.in/content/pdf/CONTENTREPO/CAAR/CAAR_Mum_Melfa_Trading_48_49_50_05102026.pdf</t>
        </is>
      </c>
      <c r="M19" s="13" t="inlineStr">
        <is>
          <t>YES</t>
        </is>
      </c>
    </row>
    <row r="20">
      <c r="A20" s="13" t="inlineStr">
        <is>
          <t>Mumbai Orders</t>
        </is>
      </c>
      <c r="B20" s="13" t="inlineStr">
        <is>
          <t>1</t>
        </is>
      </c>
      <c r="C20" s="13" t="inlineStr">
        <is>
          <t>6</t>
        </is>
      </c>
      <c r="D20" s="13" t="inlineStr">
        <is>
          <t>SAI KRIPA ENTERPRISES</t>
        </is>
      </c>
      <c r="E20" s="13" t="inlineStr">
        <is>
          <t>07.04.2026</t>
        </is>
      </c>
      <c r="F20" s="13" t="inlineStr">
        <is>
          <t>28.09.2026</t>
        </is>
      </c>
      <c r="G20" s="13" t="inlineStr">
        <is>
          <t>2026</t>
        </is>
      </c>
      <c r="H20" s="13" t="inlineStr">
        <is>
          <t>Import of Inshell Walnuts under Transferable DFIA issued against export of Assorted Confectionery Go</t>
        </is>
      </c>
      <c r="I20" s="13" t="inlineStr">
        <is>
          <t>Classification</t>
        </is>
      </c>
      <c r="J20" s="13" t="inlineStr">
        <is>
          <t>inferred</t>
        </is>
      </c>
      <c r="K20" s="13" t="inlineStr">
        <is>
          <t>CAAR/Mum/ARC/47/2026-27</t>
        </is>
      </c>
      <c r="L20" s="14" t="inlineStr">
        <is>
          <t>https://www.cbic.gov.in/content/pdf/CONTENTREPO/CAAR/CAAR_Mum_ARC_47_2026-27.pdf</t>
        </is>
      </c>
      <c r="M20" s="13" t="inlineStr">
        <is>
          <t>YES</t>
        </is>
      </c>
    </row>
    <row r="21">
      <c r="A21" s="13" t="inlineStr">
        <is>
          <t>Mumbai Orders</t>
        </is>
      </c>
      <c r="B21" s="13" t="inlineStr">
        <is>
          <t>1</t>
        </is>
      </c>
      <c r="C21" s="13" t="inlineStr">
        <is>
          <t>7</t>
        </is>
      </c>
      <c r="D21" s="13" t="inlineStr">
        <is>
          <t>M/s Global Exim</t>
        </is>
      </c>
      <c r="E21" s="13" t="inlineStr">
        <is>
          <t>07.04.2026</t>
        </is>
      </c>
      <c r="F21" s="13" t="inlineStr">
        <is>
          <t>11.09.2026</t>
        </is>
      </c>
      <c r="G21" s="13" t="inlineStr">
        <is>
          <t>2026</t>
        </is>
      </c>
      <c r="H21" s="13" t="inlineStr">
        <is>
          <t>Import of 'Roasted Areca Nuts'</t>
        </is>
      </c>
      <c r="I21" s="13" t="inlineStr">
        <is>
          <t>Classification</t>
        </is>
      </c>
      <c r="J21" s="13" t="inlineStr">
        <is>
          <t>inferred</t>
        </is>
      </c>
      <c r="K21" s="13" t="inlineStr">
        <is>
          <t>CAAR/Mum/ARC/45 &amp; 46/2026-27</t>
        </is>
      </c>
      <c r="L21" s="14" t="inlineStr">
        <is>
          <t>https://www.cbic.gov.in/content/pdf/CONTENTREPO/CAAR/CAAR_Mum_ARC_45_46_15092026.pdf</t>
        </is>
      </c>
      <c r="M21" s="13" t="inlineStr">
        <is>
          <t>YES</t>
        </is>
      </c>
    </row>
    <row r="22">
      <c r="A22" s="13" t="inlineStr">
        <is>
          <t>Mumbai Orders</t>
        </is>
      </c>
      <c r="B22" s="13" t="inlineStr">
        <is>
          <t>1</t>
        </is>
      </c>
      <c r="C22" s="13" t="inlineStr">
        <is>
          <t>8</t>
        </is>
      </c>
      <c r="D22" s="13" t="inlineStr">
        <is>
          <t>M/s.WEBINTOSH TECHNOLOGIES PRIVATE LIMITED</t>
        </is>
      </c>
      <c r="E22" s="13" t="inlineStr">
        <is>
          <t>04.06.2026</t>
        </is>
      </c>
      <c r="F22" s="13" t="inlineStr">
        <is>
          <t>10.09.2026</t>
        </is>
      </c>
      <c r="G22" s="13" t="inlineStr">
        <is>
          <t>2026</t>
        </is>
      </c>
      <c r="H22" s="13" t="inlineStr">
        <is>
          <t>Classification of the 'Roasted Areca Nuts (Whole) and Roasted Areca Nuts (Cut)'</t>
        </is>
      </c>
      <c r="I22" s="13" t="inlineStr">
        <is>
          <t>Classification</t>
        </is>
      </c>
      <c r="J22" s="13" t="inlineStr">
        <is>
          <t>explicit</t>
        </is>
      </c>
      <c r="K22" s="13" t="inlineStr">
        <is>
          <t>CAAR/Mum/ARC/44/2026-27</t>
        </is>
      </c>
      <c r="L22" s="13" t="inlineStr"/>
      <c r="M22" s="13" t="inlineStr">
        <is>
          <t>NO</t>
        </is>
      </c>
    </row>
    <row r="23">
      <c r="A23" s="13" t="inlineStr">
        <is>
          <t>Mumbai Orders</t>
        </is>
      </c>
      <c r="B23" s="13" t="inlineStr">
        <is>
          <t>1</t>
        </is>
      </c>
      <c r="C23" s="13" t="inlineStr">
        <is>
          <t>9</t>
        </is>
      </c>
      <c r="D23" s="13" t="inlineStr">
        <is>
          <t>ARABIAN SEA MULTITRADE PVT. LTD</t>
        </is>
      </c>
      <c r="E23" s="13" t="inlineStr">
        <is>
          <t>10.06.2026</t>
        </is>
      </c>
      <c r="F23" s="13" t="inlineStr">
        <is>
          <t>03.09.2026</t>
        </is>
      </c>
      <c r="G23" s="13" t="inlineStr">
        <is>
          <t>2026</t>
        </is>
      </c>
      <c r="H23" s="13" t="inlineStr">
        <is>
          <t>seeking classification of the import of Roasted Areca Nuts (whole), Roasted Areca Nuts (Split), Roas</t>
        </is>
      </c>
      <c r="I23" s="13" t="inlineStr">
        <is>
          <t>Classification</t>
        </is>
      </c>
      <c r="J23" s="13" t="inlineStr">
        <is>
          <t>explicit</t>
        </is>
      </c>
      <c r="K23" s="13" t="inlineStr">
        <is>
          <t>CAAR/Mum/ARC/40,41,42 &amp; 43/2026-27</t>
        </is>
      </c>
      <c r="L23" s="14" t="inlineStr">
        <is>
          <t>https://www.cbic.gov.in/content/pdf/CONTENTREPO/CAAR/CAAR_Mum_ARC_40-41-42-43_07092026.pdf</t>
        </is>
      </c>
      <c r="M23" s="13" t="inlineStr">
        <is>
          <t>YES</t>
        </is>
      </c>
    </row>
    <row r="24">
      <c r="A24" s="13" t="inlineStr">
        <is>
          <t>Mumbai Orders</t>
        </is>
      </c>
      <c r="B24" s="13" t="inlineStr">
        <is>
          <t>1</t>
        </is>
      </c>
      <c r="C24" s="13" t="inlineStr">
        <is>
          <t>10</t>
        </is>
      </c>
      <c r="D24" s="13" t="inlineStr">
        <is>
          <t>M/s Jineshwar Impex</t>
        </is>
      </c>
      <c r="E24" s="13" t="inlineStr">
        <is>
          <t>22.06.2026</t>
        </is>
      </c>
      <c r="F24" s="13" t="inlineStr">
        <is>
          <t>27.08.2026</t>
        </is>
      </c>
      <c r="G24" s="13" t="inlineStr">
        <is>
          <t>2026</t>
        </is>
      </c>
      <c r="H24" s="13" t="inlineStr">
        <is>
          <t>Seeking classification of the "Roasted Areca Nuts (Whole/ Split/ Cut)".</t>
        </is>
      </c>
      <c r="I24" s="13" t="inlineStr">
        <is>
          <t>Classification</t>
        </is>
      </c>
      <c r="J24" s="13" t="inlineStr">
        <is>
          <t>explicit</t>
        </is>
      </c>
      <c r="K24" s="13" t="inlineStr">
        <is>
          <t>CAAR/Mum/ARC/36,37,38 &amp; 39/2026-27</t>
        </is>
      </c>
      <c r="L24" s="14" t="inlineStr">
        <is>
          <t>https://www.cbic.gov.in/content/pdf/CONTENTREPO/CAAR/CAAR_Mum_ARC_36-37-38-39_28082026.pdf</t>
        </is>
      </c>
      <c r="M24" s="13" t="inlineStr">
        <is>
          <t>YES</t>
        </is>
      </c>
    </row>
    <row r="25">
      <c r="A25" s="13" t="inlineStr">
        <is>
          <t>Delhi Rulings</t>
        </is>
      </c>
      <c r="B25" s="13" t="inlineStr">
        <is>
          <t>1</t>
        </is>
      </c>
      <c r="C25" s="13" t="inlineStr">
        <is>
          <t>1</t>
        </is>
      </c>
      <c r="D25" s="13" t="inlineStr">
        <is>
          <t>M/s Adit Infratel Private Ltd</t>
        </is>
      </c>
      <c r="E25" s="13" t="inlineStr">
        <is>
          <t>03.07.2026</t>
        </is>
      </c>
      <c r="F25" s="13" t="inlineStr">
        <is>
          <t>07.10.2026</t>
        </is>
      </c>
      <c r="G25" s="13" t="inlineStr">
        <is>
          <t>2026</t>
        </is>
      </c>
      <c r="H25" s="13" t="inlineStr">
        <is>
          <t>Availment of benefit of Serial No. 321 of Notification No. 45/2025- in respect of imported lithium-i</t>
        </is>
      </c>
      <c r="I25" s="13" t="inlineStr">
        <is>
          <t>Exemption</t>
        </is>
      </c>
      <c r="J25" s="13" t="inlineStr">
        <is>
          <t>explicit</t>
        </is>
      </c>
      <c r="K25" s="13" t="inlineStr">
        <is>
          <t>CAAR/DEL/ Adit Infratel/58/2026-27</t>
        </is>
      </c>
      <c r="L25" s="13" t="inlineStr"/>
      <c r="M25" s="13" t="inlineStr">
        <is>
          <t>NO</t>
        </is>
      </c>
    </row>
    <row r="26">
      <c r="A26" s="13" t="inlineStr">
        <is>
          <t>Delhi Rulings</t>
        </is>
      </c>
      <c r="B26" s="13" t="inlineStr">
        <is>
          <t>1</t>
        </is>
      </c>
      <c r="C26" s="13" t="inlineStr">
        <is>
          <t>2</t>
        </is>
      </c>
      <c r="D26" s="13" t="inlineStr">
        <is>
          <t>M/s. Sunwoda Electronic India Private Limited</t>
        </is>
      </c>
      <c r="E26" s="13" t="inlineStr">
        <is>
          <t>24.06.2026</t>
        </is>
      </c>
      <c r="F26" s="13" t="inlineStr">
        <is>
          <t>05.10.2026</t>
        </is>
      </c>
      <c r="G26" s="13" t="inlineStr">
        <is>
          <t>2026</t>
        </is>
      </c>
      <c r="H26" s="13" t="inlineStr">
        <is>
          <t>Classification of Die Cut Tape and Tape in Roll used in manufacturing of lithium-ion batteries and E</t>
        </is>
      </c>
      <c r="I26" s="13" t="inlineStr">
        <is>
          <t>Classification</t>
        </is>
      </c>
      <c r="J26" s="13" t="inlineStr">
        <is>
          <t>explicit</t>
        </is>
      </c>
      <c r="K26" s="13" t="inlineStr">
        <is>
          <t>CAAR/Del/Sunwoda/55-57/2026-27</t>
        </is>
      </c>
      <c r="L26" s="14" t="inlineStr">
        <is>
          <t>https://www.cbic.gov.in/content/pdf/CONTENTREPO/CAAR/CAAR_Del_Sunwoda_55_57_06102026.pdf</t>
        </is>
      </c>
      <c r="M26" s="13" t="inlineStr">
        <is>
          <t>YES</t>
        </is>
      </c>
    </row>
    <row r="27">
      <c r="A27" s="13" t="inlineStr">
        <is>
          <t>Delhi Rulings</t>
        </is>
      </c>
      <c r="B27" s="13" t="inlineStr">
        <is>
          <t>1</t>
        </is>
      </c>
      <c r="C27" s="13" t="inlineStr">
        <is>
          <t>3</t>
        </is>
      </c>
      <c r="D27" s="13" t="inlineStr">
        <is>
          <t>M/s. Sony India Private Limited</t>
        </is>
      </c>
      <c r="E27" s="13" t="inlineStr">
        <is>
          <t>22.05.2026</t>
        </is>
      </c>
      <c r="F27" s="13" t="inlineStr">
        <is>
          <t>29.09.2026</t>
        </is>
      </c>
      <c r="G27" s="13" t="inlineStr">
        <is>
          <t>2026</t>
        </is>
      </c>
      <c r="H27" s="13" t="inlineStr">
        <is>
          <t>Classification of Various types of print media/sheets, namely UPP-110 HG, UPP-110S, UPP-110HD, UPP-8</t>
        </is>
      </c>
      <c r="I27" s="13" t="inlineStr">
        <is>
          <t>Classification</t>
        </is>
      </c>
      <c r="J27" s="13" t="inlineStr">
        <is>
          <t>explicit</t>
        </is>
      </c>
      <c r="K27" s="13" t="inlineStr">
        <is>
          <t>CAAR/Del/Sony/54/2026-27</t>
        </is>
      </c>
      <c r="L27" s="13" t="inlineStr"/>
      <c r="M27" s="13" t="inlineStr">
        <is>
          <t>NO</t>
        </is>
      </c>
    </row>
    <row r="28">
      <c r="A28" s="13" t="inlineStr">
        <is>
          <t>Delhi Rulings</t>
        </is>
      </c>
      <c r="B28" s="13" t="inlineStr">
        <is>
          <t>1</t>
        </is>
      </c>
      <c r="C28" s="13" t="inlineStr">
        <is>
          <t>4</t>
        </is>
      </c>
      <c r="D28" s="13" t="inlineStr">
        <is>
          <t>M/s. Samsung India Electronics Private Limited</t>
        </is>
      </c>
      <c r="E28" s="13" t="inlineStr">
        <is>
          <t>30.03.2026</t>
        </is>
      </c>
      <c r="F28" s="13" t="inlineStr">
        <is>
          <t>24.09.2026</t>
        </is>
      </c>
      <c r="G28" s="13" t="inlineStr">
        <is>
          <t>2026</t>
        </is>
      </c>
      <c r="H28" s="13" t="inlineStr">
        <is>
          <t>Classification of LCD Display Assembly having Product Code No. GH96-16566A and OLED Display Assembly</t>
        </is>
      </c>
      <c r="I28" s="13" t="inlineStr">
        <is>
          <t>Classification</t>
        </is>
      </c>
      <c r="J28" s="13" t="inlineStr">
        <is>
          <t>explicit</t>
        </is>
      </c>
      <c r="K28" s="13" t="inlineStr">
        <is>
          <t>CAAR/Del/Samsung/53/2026-27</t>
        </is>
      </c>
      <c r="L28" s="13" t="inlineStr"/>
      <c r="M28" s="13" t="inlineStr">
        <is>
          <t>NO</t>
        </is>
      </c>
    </row>
    <row r="29">
      <c r="A29" s="13" t="inlineStr">
        <is>
          <t>Delhi Rulings</t>
        </is>
      </c>
      <c r="B29" s="13" t="inlineStr">
        <is>
          <t>1</t>
        </is>
      </c>
      <c r="C29" s="13" t="inlineStr">
        <is>
          <t>5</t>
        </is>
      </c>
      <c r="D29" s="13" t="inlineStr">
        <is>
          <t>M/s Mediraw Pharma &amp; Nutra Private Limited</t>
        </is>
      </c>
      <c r="E29" s="13" t="inlineStr">
        <is>
          <t>01.04.2026</t>
        </is>
      </c>
      <c r="F29" s="13" t="inlineStr">
        <is>
          <t>24.09.2026</t>
        </is>
      </c>
      <c r="G29" s="13" t="inlineStr">
        <is>
          <t>2026</t>
        </is>
      </c>
      <c r="H29" s="13" t="inlineStr">
        <is>
          <t>Classification of AstaReal(Natural Astaxanthin).</t>
        </is>
      </c>
      <c r="I29" s="13" t="inlineStr">
        <is>
          <t>Classification</t>
        </is>
      </c>
      <c r="J29" s="13" t="inlineStr">
        <is>
          <t>explicit</t>
        </is>
      </c>
      <c r="K29" s="13" t="inlineStr">
        <is>
          <t>CAAR/Del/Mediraw/52/2026-27</t>
        </is>
      </c>
      <c r="L29" s="14" t="inlineStr">
        <is>
          <t>https://www.cbic.gov.in/content/pdf/CONTENTREPO/CAAR/CAAR_Del_Mediraw_52_25092026.pdf</t>
        </is>
      </c>
      <c r="M29" s="13" t="inlineStr">
        <is>
          <t>YES</t>
        </is>
      </c>
    </row>
    <row r="30">
      <c r="A30" s="13" t="inlineStr">
        <is>
          <t>Delhi Rulings</t>
        </is>
      </c>
      <c r="B30" s="13" t="inlineStr">
        <is>
          <t>1</t>
        </is>
      </c>
      <c r="C30" s="13" t="inlineStr">
        <is>
          <t>6</t>
        </is>
      </c>
      <c r="D30" s="13" t="inlineStr">
        <is>
          <t>M/s Adit Infratel Private Ltd</t>
        </is>
      </c>
      <c r="E30" s="13" t="inlineStr">
        <is>
          <t>03.07.2026</t>
        </is>
      </c>
      <c r="F30" s="13" t="inlineStr">
        <is>
          <t>17.09.2026</t>
        </is>
      </c>
      <c r="G30" s="13" t="inlineStr">
        <is>
          <t>2026</t>
        </is>
      </c>
      <c r="H30" s="13" t="inlineStr"/>
      <c r="I30" s="13" t="inlineStr">
        <is>
          <t>Unspecified</t>
        </is>
      </c>
      <c r="J30" s="13" t="inlineStr">
        <is>
          <t>low</t>
        </is>
      </c>
      <c r="K30" s="13" t="inlineStr">
        <is>
          <t>CAAR/DEL/Adit Infratel/51/2026-27</t>
        </is>
      </c>
      <c r="L30" s="14" t="inlineStr">
        <is>
          <t>https://www.cbic.gov.in/content/pdf/CONTENTREPO/CAAR/caar-del-51-18092026.pdf</t>
        </is>
      </c>
      <c r="M30" s="13" t="inlineStr">
        <is>
          <t>YES</t>
        </is>
      </c>
    </row>
    <row r="31">
      <c r="A31" s="13" t="inlineStr">
        <is>
          <t>Delhi Rulings</t>
        </is>
      </c>
      <c r="B31" s="13" t="inlineStr">
        <is>
          <t>1</t>
        </is>
      </c>
      <c r="C31" s="13" t="inlineStr">
        <is>
          <t>7</t>
        </is>
      </c>
      <c r="D31" s="13" t="inlineStr">
        <is>
          <t>M/s OPPO Mobiles India Private Limited</t>
        </is>
      </c>
      <c r="E31" s="13" t="inlineStr">
        <is>
          <t>07.04.2026</t>
        </is>
      </c>
      <c r="F31" s="13" t="inlineStr">
        <is>
          <t>31.08.2026</t>
        </is>
      </c>
      <c r="G31" s="13" t="inlineStr">
        <is>
          <t>2026</t>
        </is>
      </c>
      <c r="H31" s="13" t="inlineStr">
        <is>
          <t>Classification of Back Cover Assembly with Battery of Tablet PCs</t>
        </is>
      </c>
      <c r="I31" s="13" t="inlineStr">
        <is>
          <t>Classification</t>
        </is>
      </c>
      <c r="J31" s="13" t="inlineStr">
        <is>
          <t>explicit</t>
        </is>
      </c>
      <c r="K31" s="13" t="inlineStr">
        <is>
          <t>CAAR/Del/OPPO/50/2026-27</t>
        </is>
      </c>
      <c r="L31" s="14" t="inlineStr">
        <is>
          <t>https://www.cbic.gov.in/content/pdf/CONTENTREPO/CAAR/caar-del-50-08092026.pdf</t>
        </is>
      </c>
      <c r="M31" s="13" t="inlineStr">
        <is>
          <t>YES</t>
        </is>
      </c>
    </row>
    <row r="32">
      <c r="A32" s="13" t="inlineStr">
        <is>
          <t>Delhi Rulings</t>
        </is>
      </c>
      <c r="B32" s="13" t="inlineStr">
        <is>
          <t>1</t>
        </is>
      </c>
      <c r="C32" s="13" t="inlineStr">
        <is>
          <t>8</t>
        </is>
      </c>
      <c r="D32" s="13" t="inlineStr">
        <is>
          <t>M/s Canon India Pvt Ltd</t>
        </is>
      </c>
      <c r="E32" s="13" t="inlineStr">
        <is>
          <t>30.03.2026</t>
        </is>
      </c>
      <c r="F32" s="13" t="inlineStr">
        <is>
          <t>27.08.2026</t>
        </is>
      </c>
      <c r="G32" s="13" t="inlineStr">
        <is>
          <t>2026</t>
        </is>
      </c>
      <c r="H32" s="13" t="inlineStr"/>
      <c r="I32" s="13" t="inlineStr">
        <is>
          <t>Unspecified</t>
        </is>
      </c>
      <c r="J32" s="13" t="inlineStr">
        <is>
          <t>low</t>
        </is>
      </c>
      <c r="K32" s="13" t="inlineStr">
        <is>
          <t>CAAR/DEL/Canon/49/2026-27</t>
        </is>
      </c>
      <c r="L32" s="13" t="inlineStr"/>
      <c r="M32" s="13" t="inlineStr">
        <is>
          <t>NO</t>
        </is>
      </c>
    </row>
    <row r="33">
      <c r="A33" s="13" t="inlineStr">
        <is>
          <t>Delhi Rulings</t>
        </is>
      </c>
      <c r="B33" s="13" t="inlineStr">
        <is>
          <t>1</t>
        </is>
      </c>
      <c r="C33" s="13" t="inlineStr">
        <is>
          <t>9</t>
        </is>
      </c>
      <c r="D33" s="13" t="inlineStr">
        <is>
          <t>M/s Volvo Auto India Private Limited</t>
        </is>
      </c>
      <c r="E33" s="13" t="inlineStr">
        <is>
          <t>20.05.2026</t>
        </is>
      </c>
      <c r="F33" s="13" t="inlineStr">
        <is>
          <t>24.08.2026</t>
        </is>
      </c>
      <c r="G33" s="13" t="inlineStr">
        <is>
          <t>2026</t>
        </is>
      </c>
      <c r="H33" s="13" t="inlineStr">
        <is>
          <t>Classification of the unassembled knocked-down kit of the electrically operated vehicle Models “EX-9</t>
        </is>
      </c>
      <c r="I33" s="13" t="inlineStr">
        <is>
          <t>Classification</t>
        </is>
      </c>
      <c r="J33" s="13" t="inlineStr">
        <is>
          <t>explicit</t>
        </is>
      </c>
      <c r="K33" s="13" t="inlineStr">
        <is>
          <t>CAAR/Del/Volvo/48/2026-27</t>
        </is>
      </c>
      <c r="L33" s="13" t="inlineStr"/>
      <c r="M33" s="13" t="inlineStr">
        <is>
          <t>NO</t>
        </is>
      </c>
    </row>
    <row r="34">
      <c r="A34" s="13" t="inlineStr">
        <is>
          <t>Delhi Rulings</t>
        </is>
      </c>
      <c r="B34" s="13" t="inlineStr">
        <is>
          <t>1</t>
        </is>
      </c>
      <c r="C34" s="13" t="inlineStr">
        <is>
          <t>10</t>
        </is>
      </c>
      <c r="D34" s="13" t="inlineStr">
        <is>
          <t>M/s Mankind Pharma Limited</t>
        </is>
      </c>
      <c r="E34" s="13" t="inlineStr">
        <is>
          <t>04.05.2026</t>
        </is>
      </c>
      <c r="F34" s="13" t="inlineStr">
        <is>
          <t>19.08.2026</t>
        </is>
      </c>
      <c r="G34" s="13" t="inlineStr">
        <is>
          <t>2026</t>
        </is>
      </c>
      <c r="H34" s="13" t="inlineStr">
        <is>
          <t>IGST leviable on Import of bulk drugs/ API (Active pharmaceutical ingredients).</t>
        </is>
      </c>
      <c r="I34" s="13" t="inlineStr">
        <is>
          <t>Classification</t>
        </is>
      </c>
      <c r="J34" s="13" t="inlineStr">
        <is>
          <t>inferred</t>
        </is>
      </c>
      <c r="K34" s="13" t="inlineStr">
        <is>
          <t>CAAR/Del/Mankind/44-45/2026</t>
        </is>
      </c>
      <c r="L34" s="14" t="inlineStr">
        <is>
          <t>https://www.cbic.gov.in/content/pdf/CONTENTREPO/CAAR/CAAR_Del_ARC_44-45_25082026.pdf</t>
        </is>
      </c>
      <c r="M34" s="13" t="inlineStr">
        <is>
          <t>YES</t>
        </is>
      </c>
    </row>
    <row r="35">
      <c r="A35" s="13" t="inlineStr">
        <is>
          <t>Delhi Orders</t>
        </is>
      </c>
      <c r="B35" s="13" t="inlineStr">
        <is>
          <t>1</t>
        </is>
      </c>
      <c r="C35" s="13" t="inlineStr">
        <is>
          <t>1</t>
        </is>
      </c>
      <c r="D35" s="13" t="inlineStr">
        <is>
          <t>M/s Vardhman Vanijya Pvt. Ltd.,</t>
        </is>
      </c>
      <c r="E35" s="13" t="inlineStr">
        <is>
          <t>10.07.2026</t>
        </is>
      </c>
      <c r="F35" s="13" t="inlineStr">
        <is>
          <t>09.10.2026</t>
        </is>
      </c>
      <c r="G35" s="13" t="inlineStr">
        <is>
          <t>2026</t>
        </is>
      </c>
      <c r="H35" s="13" t="inlineStr">
        <is>
          <t>Roasted Betel nut/ Areca Nuts - Whole/ Cut</t>
        </is>
      </c>
      <c r="I35" s="13" t="inlineStr">
        <is>
          <t>Classification</t>
        </is>
      </c>
      <c r="J35" s="13" t="inlineStr">
        <is>
          <t>inferred</t>
        </is>
      </c>
      <c r="K35" s="13" t="inlineStr">
        <is>
          <t>CAAR/Del/Vardhman/57/2026-27</t>
        </is>
      </c>
      <c r="L35" s="14" t="inlineStr">
        <is>
          <t>https://www.cbic.gov.in/content/pdf/CONTENTREPO/CAAR/caar-del-ord-57-12102026.pdf</t>
        </is>
      </c>
      <c r="M35" s="13" t="inlineStr">
        <is>
          <t>YES</t>
        </is>
      </c>
    </row>
    <row r="36">
      <c r="A36" s="13" t="inlineStr">
        <is>
          <t>Delhi Orders</t>
        </is>
      </c>
      <c r="B36" s="13" t="inlineStr">
        <is>
          <t>1</t>
        </is>
      </c>
      <c r="C36" s="13" t="inlineStr">
        <is>
          <t>2</t>
        </is>
      </c>
      <c r="D36" s="13" t="inlineStr">
        <is>
          <t>M/s Apple Operations International Limited</t>
        </is>
      </c>
      <c r="E36" s="13" t="inlineStr">
        <is>
          <t>22.07.2026</t>
        </is>
      </c>
      <c r="F36" s="13" t="inlineStr">
        <is>
          <t>05.10.2026</t>
        </is>
      </c>
      <c r="G36" s="13" t="inlineStr">
        <is>
          <t>2026</t>
        </is>
      </c>
      <c r="H36" s="13" t="inlineStr">
        <is>
          <t>Classification of 'IC Modules under the First Schedule of the Customs Tariff Act, 1975'</t>
        </is>
      </c>
      <c r="I36" s="13" t="inlineStr">
        <is>
          <t>Classification</t>
        </is>
      </c>
      <c r="J36" s="13" t="inlineStr">
        <is>
          <t>explicit</t>
        </is>
      </c>
      <c r="K36" s="13" t="inlineStr">
        <is>
          <t>CAAR/Del/Apple/54-56/2026-27</t>
        </is>
      </c>
      <c r="L36" s="14" t="inlineStr">
        <is>
          <t>https://www.cbic.gov.in/content/pdf/CONTENTREPO/CAAR/CAAR_Del_Apple_54_56_06102026.pdf</t>
        </is>
      </c>
      <c r="M36" s="13" t="inlineStr">
        <is>
          <t>YES</t>
        </is>
      </c>
    </row>
    <row r="37">
      <c r="A37" s="13" t="inlineStr">
        <is>
          <t>Delhi Orders</t>
        </is>
      </c>
      <c r="B37" s="13" t="inlineStr">
        <is>
          <t>1</t>
        </is>
      </c>
      <c r="C37" s="13" t="inlineStr">
        <is>
          <t>3</t>
        </is>
      </c>
      <c r="D37" s="13" t="inlineStr">
        <is>
          <t>M/s S.R. Sales</t>
        </is>
      </c>
      <c r="E37" s="13" t="inlineStr">
        <is>
          <t>24.06.2026</t>
        </is>
      </c>
      <c r="F37" s="13" t="inlineStr">
        <is>
          <t>01.10.2026</t>
        </is>
      </c>
      <c r="G37" s="13" t="inlineStr">
        <is>
          <t>2026</t>
        </is>
      </c>
      <c r="H37" s="13" t="inlineStr">
        <is>
          <t>Roasted Areca Nuts.</t>
        </is>
      </c>
      <c r="I37" s="13" t="inlineStr">
        <is>
          <t>Classification</t>
        </is>
      </c>
      <c r="J37" s="13" t="inlineStr">
        <is>
          <t>inferred</t>
        </is>
      </c>
      <c r="K37" s="13" t="inlineStr">
        <is>
          <t>CAAR/Del/S.R.Sales/49-53/2026-27</t>
        </is>
      </c>
      <c r="L37" s="14" t="inlineStr">
        <is>
          <t>https://www.cbic.gov.in/content/pdf/CONTENTREPO/CAAR/CAAR_Del_SR_Sales_49_53_05102026.pdf</t>
        </is>
      </c>
      <c r="M37" s="13" t="inlineStr">
        <is>
          <t>YES</t>
        </is>
      </c>
    </row>
    <row r="38">
      <c r="A38" s="13" t="inlineStr">
        <is>
          <t>Delhi Orders</t>
        </is>
      </c>
      <c r="B38" s="13" t="inlineStr">
        <is>
          <t>1</t>
        </is>
      </c>
      <c r="C38" s="13" t="inlineStr">
        <is>
          <t>4</t>
        </is>
      </c>
      <c r="D38" s="13" t="inlineStr">
        <is>
          <t>M/s AS Spices</t>
        </is>
      </c>
      <c r="E38" s="13" t="inlineStr">
        <is>
          <t>01.07.2026</t>
        </is>
      </c>
      <c r="F38" s="13" t="inlineStr">
        <is>
          <t>01.10.2026</t>
        </is>
      </c>
      <c r="G38" s="13" t="inlineStr">
        <is>
          <t>2026</t>
        </is>
      </c>
      <c r="H38" s="13" t="inlineStr">
        <is>
          <t>Roasted Areca Nuts.</t>
        </is>
      </c>
      <c r="I38" s="13" t="inlineStr">
        <is>
          <t>Classification</t>
        </is>
      </c>
      <c r="J38" s="13" t="inlineStr">
        <is>
          <t>inferred</t>
        </is>
      </c>
      <c r="K38" s="13" t="inlineStr">
        <is>
          <t>CAAR/Del/AS Spices/46-48/2026-27</t>
        </is>
      </c>
      <c r="L38" s="14" t="inlineStr">
        <is>
          <t>https://www.cbic.gov.in/content/pdf/CONTENTREPO/CAAR/CAAR_Del_ASSpices_46_48_05102026.pdf</t>
        </is>
      </c>
      <c r="M38" s="13" t="inlineStr">
        <is>
          <t>YES</t>
        </is>
      </c>
    </row>
    <row r="39">
      <c r="A39" s="13" t="inlineStr">
        <is>
          <t>Delhi Orders</t>
        </is>
      </c>
      <c r="B39" s="13" t="inlineStr">
        <is>
          <t>1</t>
        </is>
      </c>
      <c r="C39" s="13" t="inlineStr">
        <is>
          <t>5</t>
        </is>
      </c>
      <c r="D39" s="13" t="inlineStr">
        <is>
          <t>M/s Ganpati Traders</t>
        </is>
      </c>
      <c r="E39" s="13" t="inlineStr">
        <is>
          <t>12.06.2026</t>
        </is>
      </c>
      <c r="F39" s="13" t="inlineStr">
        <is>
          <t>18.09.2026</t>
        </is>
      </c>
      <c r="G39" s="13" t="inlineStr">
        <is>
          <t>2026</t>
        </is>
      </c>
      <c r="H39" s="13" t="inlineStr"/>
      <c r="I39" s="13" t="inlineStr">
        <is>
          <t>Unspecified</t>
        </is>
      </c>
      <c r="J39" s="13" t="inlineStr">
        <is>
          <t>low</t>
        </is>
      </c>
      <c r="K39" s="13" t="inlineStr">
        <is>
          <t>CAAR/Del/Ganpati/41-45/2026-27</t>
        </is>
      </c>
      <c r="L39" s="14" t="inlineStr">
        <is>
          <t>https://www.cbic.gov.in/content/pdf/CONTENTREPO/CAAR/CAAR_Del_Ganpati_41-45_2026-27.pdf</t>
        </is>
      </c>
      <c r="M39" s="13" t="inlineStr">
        <is>
          <t>YES</t>
        </is>
      </c>
    </row>
    <row r="40">
      <c r="A40" s="13" t="inlineStr">
        <is>
          <t>Delhi Orders</t>
        </is>
      </c>
      <c r="B40" s="13" t="inlineStr">
        <is>
          <t>1</t>
        </is>
      </c>
      <c r="C40" s="13" t="inlineStr">
        <is>
          <t>6</t>
        </is>
      </c>
      <c r="D40" s="13" t="inlineStr">
        <is>
          <t>M/s Dira Impex,</t>
        </is>
      </c>
      <c r="E40" s="13" t="inlineStr">
        <is>
          <t>19.06.2026</t>
        </is>
      </c>
      <c r="F40" s="13" t="inlineStr">
        <is>
          <t>10.09.2026</t>
        </is>
      </c>
      <c r="G40" s="13" t="inlineStr">
        <is>
          <t>2026</t>
        </is>
      </c>
      <c r="H40" s="13" t="inlineStr">
        <is>
          <t>Roasted Areca Nuts - Whole, Split, Cut</t>
        </is>
      </c>
      <c r="I40" s="13" t="inlineStr">
        <is>
          <t>Classification</t>
        </is>
      </c>
      <c r="J40" s="13" t="inlineStr">
        <is>
          <t>inferred</t>
        </is>
      </c>
      <c r="K40" s="13" t="inlineStr">
        <is>
          <t>CAAR/DEL/Dira Impex/40/2026-27</t>
        </is>
      </c>
      <c r="L40" s="14" t="inlineStr">
        <is>
          <t>https://www.cbic.gov.in/content/pdf/CONTENTREPO/CAAR/caar-del-ord-40-28092026.pdf</t>
        </is>
      </c>
      <c r="M40" s="13" t="inlineStr">
        <is>
          <t>YES</t>
        </is>
      </c>
    </row>
    <row r="41">
      <c r="A41" s="13" t="inlineStr">
        <is>
          <t>Delhi Orders</t>
        </is>
      </c>
      <c r="B41" s="13" t="inlineStr">
        <is>
          <t>1</t>
        </is>
      </c>
      <c r="C41" s="13" t="inlineStr">
        <is>
          <t>7</t>
        </is>
      </c>
      <c r="D41" s="13" t="inlineStr">
        <is>
          <t>M/s Golden Enterprises</t>
        </is>
      </c>
      <c r="E41" s="13" t="inlineStr">
        <is>
          <t>08.05.2026</t>
        </is>
      </c>
      <c r="F41" s="13" t="inlineStr">
        <is>
          <t>03.06.2026</t>
        </is>
      </c>
      <c r="G41" s="13" t="inlineStr">
        <is>
          <t>2026</t>
        </is>
      </c>
      <c r="H41" s="13" t="inlineStr"/>
      <c r="I41" s="13" t="inlineStr">
        <is>
          <t>Unspecified</t>
        </is>
      </c>
      <c r="J41" s="13" t="inlineStr">
        <is>
          <t>low</t>
        </is>
      </c>
      <c r="K41" s="13" t="inlineStr">
        <is>
          <t>CAAR/Del/Golden/37-39/2026-27</t>
        </is>
      </c>
      <c r="L41" s="14" t="inlineStr">
        <is>
          <t>https://www.cbic.gov.in/content/pdf/CONTENTREPO/CAAR/CAAR_Del_Golden_37-39_2026-27.pdf</t>
        </is>
      </c>
      <c r="M41" s="13" t="inlineStr">
        <is>
          <t>YES</t>
        </is>
      </c>
    </row>
    <row r="42">
      <c r="A42" s="13" t="inlineStr">
        <is>
          <t>Delhi Orders</t>
        </is>
      </c>
      <c r="B42" s="13" t="inlineStr">
        <is>
          <t>1</t>
        </is>
      </c>
      <c r="C42" s="13" t="inlineStr">
        <is>
          <t>8</t>
        </is>
      </c>
      <c r="D42" s="13" t="inlineStr">
        <is>
          <t>M/s Empire Exports</t>
        </is>
      </c>
      <c r="E42" s="13" t="inlineStr">
        <is>
          <t>14.05.2026</t>
        </is>
      </c>
      <c r="F42" s="13" t="inlineStr">
        <is>
          <t>04.08.2026</t>
        </is>
      </c>
      <c r="G42" s="13" t="inlineStr">
        <is>
          <t>2026</t>
        </is>
      </c>
      <c r="H42" s="13" t="inlineStr">
        <is>
          <t>Roasted Areca Nut and Roasted Areca Nut Split</t>
        </is>
      </c>
      <c r="I42" s="13" t="inlineStr">
        <is>
          <t>Classification</t>
        </is>
      </c>
      <c r="J42" s="13" t="inlineStr">
        <is>
          <t>inferred</t>
        </is>
      </c>
      <c r="K42" s="13" t="inlineStr">
        <is>
          <t>CAAR/DEL/Empire/33-36/2026-27</t>
        </is>
      </c>
      <c r="L42" s="13" t="inlineStr"/>
      <c r="M42" s="13" t="inlineStr">
        <is>
          <t>NO</t>
        </is>
      </c>
    </row>
    <row r="43">
      <c r="A43" s="13" t="inlineStr">
        <is>
          <t>Delhi Orders</t>
        </is>
      </c>
      <c r="B43" s="13" t="inlineStr">
        <is>
          <t>1</t>
        </is>
      </c>
      <c r="C43" s="13" t="inlineStr">
        <is>
          <t>9</t>
        </is>
      </c>
      <c r="D43" s="13" t="inlineStr">
        <is>
          <t>Samkwang india Electronics Private Ltd</t>
        </is>
      </c>
      <c r="E43" s="13" t="inlineStr">
        <is>
          <t>17.03.2026</t>
        </is>
      </c>
      <c r="F43" s="13" t="inlineStr">
        <is>
          <t>31.07.2026</t>
        </is>
      </c>
      <c r="G43" s="13" t="inlineStr">
        <is>
          <t>2026</t>
        </is>
      </c>
      <c r="H43" s="13" t="inlineStr"/>
      <c r="I43" s="13" t="inlineStr">
        <is>
          <t>Unspecified</t>
        </is>
      </c>
      <c r="J43" s="13" t="inlineStr">
        <is>
          <t>low</t>
        </is>
      </c>
      <c r="K43" s="13" t="inlineStr">
        <is>
          <t>CAAR/Del/Samkwang/32/2026-27</t>
        </is>
      </c>
      <c r="L43" s="14" t="inlineStr">
        <is>
          <t>https://www.cbic.gov.in/content/pdf/CONTENTREPO/CAAR/caar-del-order-32-04082026.pdf</t>
        </is>
      </c>
      <c r="M43" s="13" t="inlineStr">
        <is>
          <t>YES</t>
        </is>
      </c>
    </row>
    <row r="44">
      <c r="A44" s="13" t="inlineStr">
        <is>
          <t>Delhi Orders</t>
        </is>
      </c>
      <c r="B44" s="13" t="inlineStr">
        <is>
          <t>1</t>
        </is>
      </c>
      <c r="C44" s="13" t="inlineStr">
        <is>
          <t>10</t>
        </is>
      </c>
      <c r="D44" s="13" t="inlineStr">
        <is>
          <t>M/s Ram Charan Barui Enterprise,</t>
        </is>
      </c>
      <c r="E44" s="13" t="inlineStr">
        <is>
          <t>27.04.2026</t>
        </is>
      </c>
      <c r="F44" s="13" t="inlineStr">
        <is>
          <t>20.07.2026</t>
        </is>
      </c>
      <c r="G44" s="13" t="inlineStr">
        <is>
          <t>2026</t>
        </is>
      </c>
      <c r="H44" s="13" t="inlineStr">
        <is>
          <t>classification of product namely ‘Roasted Betelnut/Areca Nut(whole/cut)’</t>
        </is>
      </c>
      <c r="I44" s="13" t="inlineStr">
        <is>
          <t>Classification</t>
        </is>
      </c>
      <c r="J44" s="13" t="inlineStr">
        <is>
          <t>explicit</t>
        </is>
      </c>
      <c r="K44" s="13" t="inlineStr">
        <is>
          <t>CAAR/Del/Ram Charan Barui Enterprise./31/2026</t>
        </is>
      </c>
      <c r="L44" s="13" t="inlineStr"/>
      <c r="M44" s="13" t="inlineStr">
        <is>
          <t>NO</t>
        </is>
      </c>
    </row>
  </sheetData>
  <mergeCells count="2">
    <mergeCell ref="A2:M2"/>
    <mergeCell ref="A1:M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  <hyperlink xmlns:r="http://schemas.openxmlformats.org/officeDocument/2006/relationships" ref="L15" r:id="rId7"/>
    <hyperlink xmlns:r="http://schemas.openxmlformats.org/officeDocument/2006/relationships" ref="L16" r:id="rId8"/>
    <hyperlink xmlns:r="http://schemas.openxmlformats.org/officeDocument/2006/relationships" ref="L17" r:id="rId9"/>
    <hyperlink xmlns:r="http://schemas.openxmlformats.org/officeDocument/2006/relationships" ref="L18" r:id="rId10"/>
    <hyperlink xmlns:r="http://schemas.openxmlformats.org/officeDocument/2006/relationships" ref="L19" r:id="rId11"/>
    <hyperlink xmlns:r="http://schemas.openxmlformats.org/officeDocument/2006/relationships" ref="L20" r:id="rId12"/>
    <hyperlink xmlns:r="http://schemas.openxmlformats.org/officeDocument/2006/relationships" ref="L21" r:id="rId13"/>
    <hyperlink xmlns:r="http://schemas.openxmlformats.org/officeDocument/2006/relationships" ref="L23" r:id="rId14"/>
    <hyperlink xmlns:r="http://schemas.openxmlformats.org/officeDocument/2006/relationships" ref="L24" r:id="rId15"/>
    <hyperlink xmlns:r="http://schemas.openxmlformats.org/officeDocument/2006/relationships" ref="L26" r:id="rId16"/>
    <hyperlink xmlns:r="http://schemas.openxmlformats.org/officeDocument/2006/relationships" ref="L29" r:id="rId17"/>
    <hyperlink xmlns:r="http://schemas.openxmlformats.org/officeDocument/2006/relationships" ref="L30" r:id="rId18"/>
    <hyperlink xmlns:r="http://schemas.openxmlformats.org/officeDocument/2006/relationships" ref="L31" r:id="rId19"/>
    <hyperlink xmlns:r="http://schemas.openxmlformats.org/officeDocument/2006/relationships" ref="L34" r:id="rId20"/>
    <hyperlink xmlns:r="http://schemas.openxmlformats.org/officeDocument/2006/relationships" ref="L35" r:id="rId21"/>
    <hyperlink xmlns:r="http://schemas.openxmlformats.org/officeDocument/2006/relationships" ref="L36" r:id="rId22"/>
    <hyperlink xmlns:r="http://schemas.openxmlformats.org/officeDocument/2006/relationships" ref="L37" r:id="rId23"/>
    <hyperlink xmlns:r="http://schemas.openxmlformats.org/officeDocument/2006/relationships" ref="L38" r:id="rId24"/>
    <hyperlink xmlns:r="http://schemas.openxmlformats.org/officeDocument/2006/relationships" ref="L39" r:id="rId25"/>
    <hyperlink xmlns:r="http://schemas.openxmlformats.org/officeDocument/2006/relationships" ref="L40" r:id="rId26"/>
    <hyperlink xmlns:r="http://schemas.openxmlformats.org/officeDocument/2006/relationships" ref="L41" r:id="rId27"/>
    <hyperlink xmlns:r="http://schemas.openxmlformats.org/officeDocument/2006/relationships" ref="L43" r:id="rId2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4" customWidth="1" min="2" max="2"/>
    <col width="4" customWidth="1" min="3" max="3"/>
    <col width="35" customWidth="1" min="4" max="4"/>
    <col width="13" customWidth="1" min="5" max="5"/>
    <col width="13" customWidth="1" min="6" max="6"/>
    <col width="7" customWidth="1" min="7" max="7"/>
    <col width="50" customWidth="1" min="8" max="8"/>
    <col width="16" customWidth="1" min="9" max="9"/>
    <col width="11" customWidth="1" min="10" max="10"/>
    <col width="28" customWidth="1" min="11" max="11"/>
    <col width="35" customWidth="1" min="12" max="12"/>
    <col width="7" customWidth="1" min="13" max="13"/>
  </cols>
  <sheetData>
    <row r="1" ht="24" customHeight="1">
      <c r="A1" s="11" t="inlineStr">
        <is>
          <t>CAAR Litigation Analytics  -  Mumbai Rulings</t>
        </is>
      </c>
    </row>
    <row r="2">
      <c r="A2" s="2" t="inlineStr">
        <is>
          <t>10 records</t>
        </is>
      </c>
    </row>
    <row r="4" ht="32" customHeight="1">
      <c r="A4" s="12" t="inlineStr">
        <is>
          <t>Section</t>
        </is>
      </c>
      <c r="B4" s="12" t="inlineStr">
        <is>
          <t>Pg</t>
        </is>
      </c>
      <c r="C4" s="12" t="inlineStr">
        <is>
          <t>Sl</t>
        </is>
      </c>
      <c r="D4" s="12" t="inlineStr">
        <is>
          <t>Applicant</t>
        </is>
      </c>
      <c r="E4" s="12" t="inlineStr">
        <is>
          <t>Date of Application</t>
        </is>
      </c>
      <c r="F4" s="12" t="inlineStr">
        <is>
          <t>Date of Ruling</t>
        </is>
      </c>
      <c r="G4" s="12" t="inlineStr">
        <is>
          <t>Year</t>
        </is>
      </c>
      <c r="H4" s="12" t="inlineStr">
        <is>
          <t>Subject</t>
        </is>
      </c>
      <c r="I4" s="12" t="inlineStr">
        <is>
          <t>Issue Type</t>
        </is>
      </c>
      <c r="J4" s="12" t="inlineStr">
        <is>
          <t>Confidence</t>
        </is>
      </c>
      <c r="K4" s="12" t="inlineStr">
        <is>
          <t>Ruling No.</t>
        </is>
      </c>
      <c r="L4" s="12" t="inlineStr">
        <is>
          <t>PDF Link</t>
        </is>
      </c>
      <c r="M4" s="12" t="inlineStr">
        <is>
          <t>PDF?</t>
        </is>
      </c>
    </row>
    <row r="5">
      <c r="A5" s="13" t="inlineStr">
        <is>
          <t>Mumbai Rulings</t>
        </is>
      </c>
      <c r="B5" s="13" t="inlineStr">
        <is>
          <t>1</t>
        </is>
      </c>
      <c r="C5" s="13" t="inlineStr">
        <is>
          <t>1</t>
        </is>
      </c>
      <c r="D5" s="13" t="inlineStr">
        <is>
          <t>Siemens Limited</t>
        </is>
      </c>
      <c r="E5" s="13" t="inlineStr">
        <is>
          <t>27.03.2026</t>
        </is>
      </c>
      <c r="F5" s="13" t="inlineStr">
        <is>
          <t>08.10.2026</t>
        </is>
      </c>
      <c r="G5" s="13" t="inlineStr">
        <is>
          <t>2026</t>
        </is>
      </c>
      <c r="H5" s="13" t="inlineStr">
        <is>
          <t>Import of the following products for use in manufacture and assembly of Industrial Computing Platfor</t>
        </is>
      </c>
      <c r="I5" s="13" t="inlineStr">
        <is>
          <t>Classification</t>
        </is>
      </c>
      <c r="J5" s="13" t="inlineStr">
        <is>
          <t>inferred</t>
        </is>
      </c>
      <c r="K5" s="13" t="inlineStr">
        <is>
          <t>CAAR/Mum/ARC/106/2026</t>
        </is>
      </c>
      <c r="L5" s="14" t="inlineStr">
        <is>
          <t>https://www.cbic.gov.in/content/pdf/CONTENTREPO/CAAR/caar-Mum-rul-106-12102026.pdf</t>
        </is>
      </c>
      <c r="M5" s="13" t="inlineStr">
        <is>
          <t>YES</t>
        </is>
      </c>
    </row>
    <row r="6">
      <c r="A6" s="13" t="inlineStr">
        <is>
          <t>Mumbai Rulings</t>
        </is>
      </c>
      <c r="B6" s="13" t="inlineStr">
        <is>
          <t>1</t>
        </is>
      </c>
      <c r="C6" s="13" t="inlineStr">
        <is>
          <t>2</t>
        </is>
      </c>
      <c r="D6" s="13" t="inlineStr">
        <is>
          <t>BPIN Private Limited</t>
        </is>
      </c>
      <c r="E6" s="13" t="inlineStr">
        <is>
          <t>25.02.2026</t>
        </is>
      </c>
      <c r="F6" s="13" t="inlineStr">
        <is>
          <t>07.10.2026</t>
        </is>
      </c>
      <c r="G6" s="13" t="inlineStr">
        <is>
          <t>2026</t>
        </is>
      </c>
      <c r="H6" s="13" t="inlineStr">
        <is>
          <t>Import of 'Car Radio Units' in semi-knocked down (SKD) condition</t>
        </is>
      </c>
      <c r="I6" s="13" t="inlineStr">
        <is>
          <t>Classification</t>
        </is>
      </c>
      <c r="J6" s="13" t="inlineStr">
        <is>
          <t>inferred</t>
        </is>
      </c>
      <c r="K6" s="13" t="inlineStr">
        <is>
          <t>CAAR/Mum/ARC/104 &amp; 105/2026</t>
        </is>
      </c>
      <c r="L6" s="14" t="inlineStr">
        <is>
          <t>https://www.cbic.gov.in/content/pdf/CONTENTREPO/CAAR/caar-mum-105-08102026.pdf</t>
        </is>
      </c>
      <c r="M6" s="13" t="inlineStr">
        <is>
          <t>YES</t>
        </is>
      </c>
    </row>
    <row r="7">
      <c r="A7" s="13" t="inlineStr">
        <is>
          <t>Mumbai Rulings</t>
        </is>
      </c>
      <c r="B7" s="13" t="inlineStr">
        <is>
          <t>1</t>
        </is>
      </c>
      <c r="C7" s="13" t="inlineStr">
        <is>
          <t>3</t>
        </is>
      </c>
      <c r="D7" s="13" t="inlineStr">
        <is>
          <t>Sanmina-SCI India Private Limited</t>
        </is>
      </c>
      <c r="E7" s="13" t="inlineStr">
        <is>
          <t>21.04.2026</t>
        </is>
      </c>
      <c r="F7" s="13" t="inlineStr">
        <is>
          <t>06.10.2026</t>
        </is>
      </c>
      <c r="G7" s="13" t="inlineStr">
        <is>
          <t>2026</t>
        </is>
      </c>
      <c r="H7" s="13" t="inlineStr">
        <is>
          <t>Classification of the storage-servers and the applicability of Serial No.39 of Notification No. 24/2</t>
        </is>
      </c>
      <c r="I7" s="13" t="inlineStr">
        <is>
          <t>Exemption</t>
        </is>
      </c>
      <c r="J7" s="13" t="inlineStr">
        <is>
          <t>explicit</t>
        </is>
      </c>
      <c r="K7" s="13" t="inlineStr">
        <is>
          <t>CAAR/Mum/ARC/102 &amp; 103/2026</t>
        </is>
      </c>
      <c r="L7" s="14" t="inlineStr">
        <is>
          <t>https://www.cbic.gov.in/content/pdf/CONTENTREPO/CAAR/caar-Mum-102-103-08102026.pdf</t>
        </is>
      </c>
      <c r="M7" s="13" t="inlineStr">
        <is>
          <t>YES</t>
        </is>
      </c>
    </row>
    <row r="8">
      <c r="A8" s="13" t="inlineStr">
        <is>
          <t>Mumbai Rulings</t>
        </is>
      </c>
      <c r="B8" s="13" t="inlineStr">
        <is>
          <t>1</t>
        </is>
      </c>
      <c r="C8" s="13" t="inlineStr">
        <is>
          <t>4</t>
        </is>
      </c>
      <c r="D8" s="13" t="inlineStr">
        <is>
          <t>ORANGE INKJET SOLUTIONS PRIVATE LIMITED</t>
        </is>
      </c>
      <c r="E8" s="13" t="inlineStr">
        <is>
          <t>27.02.2026</t>
        </is>
      </c>
      <c r="F8" s="13" t="inlineStr">
        <is>
          <t>30.09.2026</t>
        </is>
      </c>
      <c r="G8" s="13" t="inlineStr">
        <is>
          <t>2026</t>
        </is>
      </c>
      <c r="H8" s="13" t="inlineStr">
        <is>
          <t>Classification of Ink-Jet Printers.</t>
        </is>
      </c>
      <c r="I8" s="13" t="inlineStr">
        <is>
          <t>Classification</t>
        </is>
      </c>
      <c r="J8" s="13" t="inlineStr">
        <is>
          <t>explicit</t>
        </is>
      </c>
      <c r="K8" s="13" t="inlineStr">
        <is>
          <t>CAAR/Mum/ARC/101/2026-27</t>
        </is>
      </c>
      <c r="L8" s="13" t="inlineStr"/>
      <c r="M8" s="13" t="inlineStr">
        <is>
          <t>NO</t>
        </is>
      </c>
    </row>
    <row r="9">
      <c r="A9" s="13" t="inlineStr">
        <is>
          <t>Mumbai Rulings</t>
        </is>
      </c>
      <c r="B9" s="13" t="inlineStr">
        <is>
          <t>1</t>
        </is>
      </c>
      <c r="C9" s="13" t="inlineStr">
        <is>
          <t>5</t>
        </is>
      </c>
      <c r="D9" s="13" t="inlineStr">
        <is>
          <t>Halton India Private Limited</t>
        </is>
      </c>
      <c r="E9" s="13" t="inlineStr">
        <is>
          <t>05.01.2026</t>
        </is>
      </c>
      <c r="F9" s="13" t="inlineStr">
        <is>
          <t>29.09.2026</t>
        </is>
      </c>
      <c r="G9" s="13" t="inlineStr">
        <is>
          <t>2026</t>
        </is>
      </c>
      <c r="H9" s="13" t="inlineStr">
        <is>
          <t>classification of "Kitchen Exhaust Hoods with different Models".</t>
        </is>
      </c>
      <c r="I9" s="13" t="inlineStr">
        <is>
          <t>Classification</t>
        </is>
      </c>
      <c r="J9" s="13" t="inlineStr">
        <is>
          <t>explicit</t>
        </is>
      </c>
      <c r="K9" s="13" t="inlineStr">
        <is>
          <t>CAAR/Mum/ARC/100/2026</t>
        </is>
      </c>
      <c r="L9" s="14" t="inlineStr">
        <is>
          <t>https://www.cbic.gov.in/content/pdf/CONTENTREPO/CAAR/CAAR_Mum_ARC_100_2026-27.pdf</t>
        </is>
      </c>
      <c r="M9" s="13" t="inlineStr">
        <is>
          <t>YES</t>
        </is>
      </c>
    </row>
    <row r="10">
      <c r="A10" s="13" t="inlineStr">
        <is>
          <t>Mumbai Rulings</t>
        </is>
      </c>
      <c r="B10" s="13" t="inlineStr">
        <is>
          <t>1</t>
        </is>
      </c>
      <c r="C10" s="13" t="inlineStr">
        <is>
          <t>6</t>
        </is>
      </c>
      <c r="D10" s="13" t="inlineStr">
        <is>
          <t>M/s.Radiant Enterprises</t>
        </is>
      </c>
      <c r="E10" s="13" t="inlineStr">
        <is>
          <t>03.02.2026</t>
        </is>
      </c>
      <c r="F10" s="13" t="inlineStr">
        <is>
          <t>28.09.2026</t>
        </is>
      </c>
      <c r="G10" s="13" t="inlineStr">
        <is>
          <t>2026</t>
        </is>
      </c>
      <c r="H10" s="13" t="inlineStr">
        <is>
          <t>Classification of a) wifi communication modules, (b) cellular communication modules, and (c) navigat</t>
        </is>
      </c>
      <c r="I10" s="13" t="inlineStr">
        <is>
          <t>Classification</t>
        </is>
      </c>
      <c r="J10" s="13" t="inlineStr">
        <is>
          <t>explicit</t>
        </is>
      </c>
      <c r="K10" s="13" t="inlineStr">
        <is>
          <t>CAAR/Mum/ARC/99/2026</t>
        </is>
      </c>
      <c r="L10" s="14" t="inlineStr">
        <is>
          <t>https://www.cbic.gov.in/content/pdf/CONTENTREPO/CAAR/CAAR_Mum_ARC_99_29092026.pdf</t>
        </is>
      </c>
      <c r="M10" s="13" t="inlineStr">
        <is>
          <t>YES</t>
        </is>
      </c>
    </row>
    <row r="11">
      <c r="A11" s="13" t="inlineStr">
        <is>
          <t>Mumbai Rulings</t>
        </is>
      </c>
      <c r="B11" s="13" t="inlineStr">
        <is>
          <t>1</t>
        </is>
      </c>
      <c r="C11" s="13" t="inlineStr">
        <is>
          <t>7</t>
        </is>
      </c>
      <c r="D11" s="13" t="inlineStr">
        <is>
          <t>M/s.Pinaka Aerospace Solutions Pvt. Ltd.</t>
        </is>
      </c>
      <c r="E11" s="13" t="inlineStr">
        <is>
          <t>17.02.2026</t>
        </is>
      </c>
      <c r="F11" s="13" t="inlineStr">
        <is>
          <t>25.09.2026</t>
        </is>
      </c>
      <c r="G11" s="13" t="inlineStr">
        <is>
          <t>2026</t>
        </is>
      </c>
      <c r="H11" s="13" t="inlineStr">
        <is>
          <t>Import of Aircraft components-MILDS F SUOF Lens V2, Front End (M2FE) V2.11 and MILDS F SUII Coupled</t>
        </is>
      </c>
      <c r="I11" s="13" t="inlineStr">
        <is>
          <t>Classification</t>
        </is>
      </c>
      <c r="J11" s="13" t="inlineStr">
        <is>
          <t>inferred</t>
        </is>
      </c>
      <c r="K11" s="13" t="inlineStr">
        <is>
          <t>CAAR/Mum/ARC/98/2026</t>
        </is>
      </c>
      <c r="L11" s="14" t="inlineStr">
        <is>
          <t>https://www.cbic.gov.in/content/pdf/CONTENTREPO/CAAR/CAAR_Mum_ARC_98_29092026.pdf</t>
        </is>
      </c>
      <c r="M11" s="13" t="inlineStr">
        <is>
          <t>YES</t>
        </is>
      </c>
    </row>
    <row r="12">
      <c r="A12" s="13" t="inlineStr">
        <is>
          <t>Mumbai Rulings</t>
        </is>
      </c>
      <c r="B12" s="13" t="inlineStr">
        <is>
          <t>1</t>
        </is>
      </c>
      <c r="C12" s="13" t="inlineStr">
        <is>
          <t>8</t>
        </is>
      </c>
      <c r="D12" s="13" t="inlineStr">
        <is>
          <t>M/s. Global Exim</t>
        </is>
      </c>
      <c r="E12" s="13" t="inlineStr">
        <is>
          <t>08.07.2026</t>
        </is>
      </c>
      <c r="F12" s="13" t="inlineStr">
        <is>
          <t>25.09.2026</t>
        </is>
      </c>
      <c r="G12" s="13" t="inlineStr">
        <is>
          <t>2026</t>
        </is>
      </c>
      <c r="H12" s="13" t="inlineStr">
        <is>
          <t>Classification of product described as 'Pea Protein-85%'.</t>
        </is>
      </c>
      <c r="I12" s="13" t="inlineStr">
        <is>
          <t>Classification</t>
        </is>
      </c>
      <c r="J12" s="13" t="inlineStr">
        <is>
          <t>explicit</t>
        </is>
      </c>
      <c r="K12" s="13" t="inlineStr">
        <is>
          <t>CAAR/Mum/ARC/97/2026-27</t>
        </is>
      </c>
      <c r="L12" s="13" t="inlineStr"/>
      <c r="M12" s="13" t="inlineStr">
        <is>
          <t>NO</t>
        </is>
      </c>
    </row>
    <row r="13">
      <c r="A13" s="13" t="inlineStr">
        <is>
          <t>Mumbai Rulings</t>
        </is>
      </c>
      <c r="B13" s="13" t="inlineStr">
        <is>
          <t>1</t>
        </is>
      </c>
      <c r="C13" s="13" t="inlineStr">
        <is>
          <t>9</t>
        </is>
      </c>
      <c r="D13" s="13" t="inlineStr">
        <is>
          <t>M/s. Global Exim</t>
        </is>
      </c>
      <c r="E13" s="13" t="inlineStr">
        <is>
          <t>08.07.2026</t>
        </is>
      </c>
      <c r="F13" s="13" t="inlineStr">
        <is>
          <t>25.09.2026</t>
        </is>
      </c>
      <c r="G13" s="13" t="inlineStr">
        <is>
          <t>2026</t>
        </is>
      </c>
      <c r="H13" s="13" t="inlineStr">
        <is>
          <t>Classification of product described as 'Monk Fruit Extract'</t>
        </is>
      </c>
      <c r="I13" s="13" t="inlineStr">
        <is>
          <t>Classification</t>
        </is>
      </c>
      <c r="J13" s="13" t="inlineStr">
        <is>
          <t>explicit</t>
        </is>
      </c>
      <c r="K13" s="13" t="inlineStr">
        <is>
          <t>CAAR/Mum/ARC/96/2026-27</t>
        </is>
      </c>
      <c r="L13" s="13" t="inlineStr"/>
      <c r="M13" s="13" t="inlineStr">
        <is>
          <t>NO</t>
        </is>
      </c>
    </row>
    <row r="14">
      <c r="A14" s="13" t="inlineStr">
        <is>
          <t>Mumbai Rulings</t>
        </is>
      </c>
      <c r="B14" s="13" t="inlineStr">
        <is>
          <t>1</t>
        </is>
      </c>
      <c r="C14" s="13" t="inlineStr">
        <is>
          <t>10</t>
        </is>
      </c>
      <c r="D14" s="13" t="inlineStr">
        <is>
          <t>M/s. SEYFERT GLOBAL PRIVATE LIMITED</t>
        </is>
      </c>
      <c r="E14" s="13" t="inlineStr">
        <is>
          <t>29.06.2026</t>
        </is>
      </c>
      <c r="F14" s="13" t="inlineStr">
        <is>
          <t>24.09.2026</t>
        </is>
      </c>
      <c r="G14" s="13" t="inlineStr">
        <is>
          <t>2026</t>
        </is>
      </c>
      <c r="H14" s="13" t="inlineStr">
        <is>
          <t>Classification of cashew kernels Cashew Nuts Broken (Large and Small Broken Pieces)</t>
        </is>
      </c>
      <c r="I14" s="13" t="inlineStr">
        <is>
          <t>Classification</t>
        </is>
      </c>
      <c r="J14" s="13" t="inlineStr">
        <is>
          <t>explicit</t>
        </is>
      </c>
      <c r="K14" s="13" t="inlineStr">
        <is>
          <t>CAAR/Mum/ARC/95/2026-27</t>
        </is>
      </c>
      <c r="L14" s="13" t="inlineStr"/>
      <c r="M14" s="13" t="inlineStr">
        <is>
          <t>NO</t>
        </is>
      </c>
    </row>
  </sheetData>
  <mergeCells count="2">
    <mergeCell ref="A2:M2"/>
    <mergeCell ref="A1:M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9" r:id="rId4"/>
    <hyperlink xmlns:r="http://schemas.openxmlformats.org/officeDocument/2006/relationships" ref="L10" r:id="rId5"/>
    <hyperlink xmlns:r="http://schemas.openxmlformats.org/officeDocument/2006/relationships" ref="L11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4" customWidth="1" min="2" max="2"/>
    <col width="4" customWidth="1" min="3" max="3"/>
    <col width="35" customWidth="1" min="4" max="4"/>
    <col width="13" customWidth="1" min="5" max="5"/>
    <col width="13" customWidth="1" min="6" max="6"/>
    <col width="7" customWidth="1" min="7" max="7"/>
    <col width="50" customWidth="1" min="8" max="8"/>
    <col width="16" customWidth="1" min="9" max="9"/>
    <col width="11" customWidth="1" min="10" max="10"/>
    <col width="28" customWidth="1" min="11" max="11"/>
    <col width="35" customWidth="1" min="12" max="12"/>
    <col width="7" customWidth="1" min="13" max="13"/>
  </cols>
  <sheetData>
    <row r="1" ht="24" customHeight="1">
      <c r="A1" s="11" t="inlineStr">
        <is>
          <t>CAAR Litigation Analytics  -  Mumbai Orders</t>
        </is>
      </c>
    </row>
    <row r="2">
      <c r="A2" s="2" t="inlineStr">
        <is>
          <t>10 records</t>
        </is>
      </c>
    </row>
    <row r="4" ht="32" customHeight="1">
      <c r="A4" s="12" t="inlineStr">
        <is>
          <t>Section</t>
        </is>
      </c>
      <c r="B4" s="12" t="inlineStr">
        <is>
          <t>Pg</t>
        </is>
      </c>
      <c r="C4" s="12" t="inlineStr">
        <is>
          <t>Sl</t>
        </is>
      </c>
      <c r="D4" s="12" t="inlineStr">
        <is>
          <t>Applicant</t>
        </is>
      </c>
      <c r="E4" s="12" t="inlineStr">
        <is>
          <t>Date of Application</t>
        </is>
      </c>
      <c r="F4" s="12" t="inlineStr">
        <is>
          <t>Date of Ruling</t>
        </is>
      </c>
      <c r="G4" s="12" t="inlineStr">
        <is>
          <t>Year</t>
        </is>
      </c>
      <c r="H4" s="12" t="inlineStr">
        <is>
          <t>Subject</t>
        </is>
      </c>
      <c r="I4" s="12" t="inlineStr">
        <is>
          <t>Issue Type</t>
        </is>
      </c>
      <c r="J4" s="12" t="inlineStr">
        <is>
          <t>Confidence</t>
        </is>
      </c>
      <c r="K4" s="12" t="inlineStr">
        <is>
          <t>Ruling No.</t>
        </is>
      </c>
      <c r="L4" s="12" t="inlineStr">
        <is>
          <t>PDF Link</t>
        </is>
      </c>
      <c r="M4" s="12" t="inlineStr">
        <is>
          <t>PDF?</t>
        </is>
      </c>
    </row>
    <row r="5">
      <c r="A5" s="13" t="inlineStr">
        <is>
          <t>Mumbai Orders</t>
        </is>
      </c>
      <c r="B5" s="13" t="inlineStr">
        <is>
          <t>1</t>
        </is>
      </c>
      <c r="C5" s="13" t="inlineStr">
        <is>
          <t>1</t>
        </is>
      </c>
      <c r="D5" s="13" t="inlineStr">
        <is>
          <t>Gangwal Healthcare Private Limited</t>
        </is>
      </c>
      <c r="E5" s="13" t="inlineStr">
        <is>
          <t>27.05.2026</t>
        </is>
      </c>
      <c r="F5" s="13" t="inlineStr">
        <is>
          <t>13.10.2026</t>
        </is>
      </c>
      <c r="G5" s="13" t="inlineStr">
        <is>
          <t>2026</t>
        </is>
      </c>
      <c r="H5" s="13" t="inlineStr">
        <is>
          <t>Proposed import 'Avonlac 282' which is the primary raw material for manufacturing the health supplem</t>
        </is>
      </c>
      <c r="I5" s="13" t="inlineStr">
        <is>
          <t>Classification</t>
        </is>
      </c>
      <c r="J5" s="13" t="inlineStr">
        <is>
          <t>inferred</t>
        </is>
      </c>
      <c r="K5" s="13" t="inlineStr">
        <is>
          <t>CAAR/Mum/ARC/54/2026-27</t>
        </is>
      </c>
      <c r="L5" s="14" t="inlineStr">
        <is>
          <t>https://www.cbic.gov.in/content/pdf/CONTENTREPO/CAAR/CAAR_Mum_ARC_54_15102026.pdf</t>
        </is>
      </c>
      <c r="M5" s="13" t="inlineStr">
        <is>
          <t>YES</t>
        </is>
      </c>
    </row>
    <row r="6">
      <c r="A6" s="13" t="inlineStr">
        <is>
          <t>Mumbai Orders</t>
        </is>
      </c>
      <c r="B6" s="13" t="inlineStr">
        <is>
          <t>1</t>
        </is>
      </c>
      <c r="C6" s="13" t="inlineStr">
        <is>
          <t>2</t>
        </is>
      </c>
      <c r="D6" s="13" t="inlineStr">
        <is>
          <t>M/s. ENVORA EXIM</t>
        </is>
      </c>
      <c r="E6" s="13" t="inlineStr">
        <is>
          <t>13.07.2026</t>
        </is>
      </c>
      <c r="F6" s="13" t="inlineStr">
        <is>
          <t>08.10.2026</t>
        </is>
      </c>
      <c r="G6" s="13" t="inlineStr">
        <is>
          <t>2026</t>
        </is>
      </c>
      <c r="H6" s="13" t="inlineStr">
        <is>
          <t>Imports of 'Roasted Areca Nuts- HS code: 2008 1991</t>
        </is>
      </c>
      <c r="I6" s="13" t="inlineStr">
        <is>
          <t>Classification</t>
        </is>
      </c>
      <c r="J6" s="13" t="inlineStr">
        <is>
          <t>explicit</t>
        </is>
      </c>
      <c r="K6" s="13" t="inlineStr">
        <is>
          <t>CAAR/Mum/ARC/53/2026-27</t>
        </is>
      </c>
      <c r="L6" s="14" t="inlineStr">
        <is>
          <t>https://www.cbic.gov.in/content/pdf/CONTENTREPO/CAAR/caar-mum-ord-53-12102026.pdf</t>
        </is>
      </c>
      <c r="M6" s="13" t="inlineStr">
        <is>
          <t>YES</t>
        </is>
      </c>
    </row>
    <row r="7">
      <c r="A7" s="13" t="inlineStr">
        <is>
          <t>Mumbai Orders</t>
        </is>
      </c>
      <c r="B7" s="13" t="inlineStr">
        <is>
          <t>1</t>
        </is>
      </c>
      <c r="C7" s="13" t="inlineStr">
        <is>
          <t>3</t>
        </is>
      </c>
      <c r="D7" s="13" t="inlineStr">
        <is>
          <t>Rashi Peripherals Limited</t>
        </is>
      </c>
      <c r="E7" s="13" t="inlineStr">
        <is>
          <t>08.05.2026</t>
        </is>
      </c>
      <c r="F7" s="13" t="inlineStr">
        <is>
          <t>07.10.2026</t>
        </is>
      </c>
      <c r="G7" s="13" t="inlineStr">
        <is>
          <t>2026</t>
        </is>
      </c>
      <c r="H7" s="13" t="inlineStr">
        <is>
          <t>Import of 'LTE CAT/GSM Modules'.</t>
        </is>
      </c>
      <c r="I7" s="13" t="inlineStr">
        <is>
          <t>Classification</t>
        </is>
      </c>
      <c r="J7" s="13" t="inlineStr">
        <is>
          <t>inferred</t>
        </is>
      </c>
      <c r="K7" s="13" t="inlineStr">
        <is>
          <t>CAAR/Mum/ARC/52/2026-27</t>
        </is>
      </c>
      <c r="L7" s="14" t="inlineStr">
        <is>
          <t>https://www.cbic.gov.in/content/pdf/CONTENTREPO/CAAR/CAAR_Mum_ARC_52_2026-27.pdf</t>
        </is>
      </c>
      <c r="M7" s="13" t="inlineStr">
        <is>
          <t>YES</t>
        </is>
      </c>
    </row>
    <row r="8">
      <c r="A8" s="13" t="inlineStr">
        <is>
          <t>Mumbai Orders</t>
        </is>
      </c>
      <c r="B8" s="13" t="inlineStr">
        <is>
          <t>1</t>
        </is>
      </c>
      <c r="C8" s="13" t="inlineStr">
        <is>
          <t>4</t>
        </is>
      </c>
      <c r="D8" s="13" t="inlineStr">
        <is>
          <t>TECEX INDIA PRIVATE LIMITED</t>
        </is>
      </c>
      <c r="E8" s="13" t="inlineStr">
        <is>
          <t>12.01.2026</t>
        </is>
      </c>
      <c r="F8" s="13" t="inlineStr">
        <is>
          <t>06.10.2026</t>
        </is>
      </c>
      <c r="G8" s="13" t="inlineStr">
        <is>
          <t>2026</t>
        </is>
      </c>
      <c r="H8" s="13" t="inlineStr">
        <is>
          <t>Classification of Integrated Rack Server</t>
        </is>
      </c>
      <c r="I8" s="13" t="inlineStr">
        <is>
          <t>Classification</t>
        </is>
      </c>
      <c r="J8" s="13" t="inlineStr">
        <is>
          <t>explicit</t>
        </is>
      </c>
      <c r="K8" s="13" t="inlineStr">
        <is>
          <t>CAAR/Mum/ARC/51/2026-27</t>
        </is>
      </c>
      <c r="L8" s="14" t="inlineStr">
        <is>
          <t>https://www.cbic.gov.in/content/pdf/CONTENTREPO/CAAR/caar-mum-ord-51-08102026.pdf</t>
        </is>
      </c>
      <c r="M8" s="13" t="inlineStr">
        <is>
          <t>YES</t>
        </is>
      </c>
    </row>
    <row r="9">
      <c r="A9" s="13" t="inlineStr">
        <is>
          <t>Mumbai Orders</t>
        </is>
      </c>
      <c r="B9" s="13" t="inlineStr">
        <is>
          <t>1</t>
        </is>
      </c>
      <c r="C9" s="13" t="inlineStr">
        <is>
          <t>5</t>
        </is>
      </c>
      <c r="D9" s="13" t="inlineStr">
        <is>
          <t>M/s Melfa Trading Impex Private Limited</t>
        </is>
      </c>
      <c r="E9" s="13" t="inlineStr">
        <is>
          <t>07.05.2026</t>
        </is>
      </c>
      <c r="F9" s="13" t="inlineStr">
        <is>
          <t>30.09.2026</t>
        </is>
      </c>
      <c r="G9" s="13" t="inlineStr">
        <is>
          <t>2026</t>
        </is>
      </c>
      <c r="H9" s="13" t="inlineStr">
        <is>
          <t>Import of 'Oven Roasted Areca Nuts'</t>
        </is>
      </c>
      <c r="I9" s="13" t="inlineStr">
        <is>
          <t>Classification</t>
        </is>
      </c>
      <c r="J9" s="13" t="inlineStr">
        <is>
          <t>inferred</t>
        </is>
      </c>
      <c r="K9" s="13" t="inlineStr">
        <is>
          <t>CAAR/Mum/ARC/48, 49 &amp; 50/2026-27</t>
        </is>
      </c>
      <c r="L9" s="14" t="inlineStr">
        <is>
          <t>https://www.cbic.gov.in/content/pdf/CONTENTREPO/CAAR/CAAR_Mum_Melfa_Trading_48_49_50_05102026.pdf</t>
        </is>
      </c>
      <c r="M9" s="13" t="inlineStr">
        <is>
          <t>YES</t>
        </is>
      </c>
    </row>
    <row r="10">
      <c r="A10" s="13" t="inlineStr">
        <is>
          <t>Mumbai Orders</t>
        </is>
      </c>
      <c r="B10" s="13" t="inlineStr">
        <is>
          <t>1</t>
        </is>
      </c>
      <c r="C10" s="13" t="inlineStr">
        <is>
          <t>6</t>
        </is>
      </c>
      <c r="D10" s="13" t="inlineStr">
        <is>
          <t>SAI KRIPA ENTERPRISES</t>
        </is>
      </c>
      <c r="E10" s="13" t="inlineStr">
        <is>
          <t>07.04.2026</t>
        </is>
      </c>
      <c r="F10" s="13" t="inlineStr">
        <is>
          <t>28.09.2026</t>
        </is>
      </c>
      <c r="G10" s="13" t="inlineStr">
        <is>
          <t>2026</t>
        </is>
      </c>
      <c r="H10" s="13" t="inlineStr">
        <is>
          <t>Import of Inshell Walnuts under Transferable DFIA issued against export of Assorted Confectionery Go</t>
        </is>
      </c>
      <c r="I10" s="13" t="inlineStr">
        <is>
          <t>Classification</t>
        </is>
      </c>
      <c r="J10" s="13" t="inlineStr">
        <is>
          <t>inferred</t>
        </is>
      </c>
      <c r="K10" s="13" t="inlineStr">
        <is>
          <t>CAAR/Mum/ARC/47/2026-27</t>
        </is>
      </c>
      <c r="L10" s="14" t="inlineStr">
        <is>
          <t>https://www.cbic.gov.in/content/pdf/CONTENTREPO/CAAR/CAAR_Mum_ARC_47_2026-27.pdf</t>
        </is>
      </c>
      <c r="M10" s="13" t="inlineStr">
        <is>
          <t>YES</t>
        </is>
      </c>
    </row>
    <row r="11">
      <c r="A11" s="13" t="inlineStr">
        <is>
          <t>Mumbai Orders</t>
        </is>
      </c>
      <c r="B11" s="13" t="inlineStr">
        <is>
          <t>1</t>
        </is>
      </c>
      <c r="C11" s="13" t="inlineStr">
        <is>
          <t>7</t>
        </is>
      </c>
      <c r="D11" s="13" t="inlineStr">
        <is>
          <t>M/s Global Exim</t>
        </is>
      </c>
      <c r="E11" s="13" t="inlineStr">
        <is>
          <t>07.04.2026</t>
        </is>
      </c>
      <c r="F11" s="13" t="inlineStr">
        <is>
          <t>11.09.2026</t>
        </is>
      </c>
      <c r="G11" s="13" t="inlineStr">
        <is>
          <t>2026</t>
        </is>
      </c>
      <c r="H11" s="13" t="inlineStr">
        <is>
          <t>Import of 'Roasted Areca Nuts'</t>
        </is>
      </c>
      <c r="I11" s="13" t="inlineStr">
        <is>
          <t>Classification</t>
        </is>
      </c>
      <c r="J11" s="13" t="inlineStr">
        <is>
          <t>inferred</t>
        </is>
      </c>
      <c r="K11" s="13" t="inlineStr">
        <is>
          <t>CAAR/Mum/ARC/45 &amp; 46/2026-27</t>
        </is>
      </c>
      <c r="L11" s="14" t="inlineStr">
        <is>
          <t>https://www.cbic.gov.in/content/pdf/CONTENTREPO/CAAR/CAAR_Mum_ARC_45_46_15092026.pdf</t>
        </is>
      </c>
      <c r="M11" s="13" t="inlineStr">
        <is>
          <t>YES</t>
        </is>
      </c>
    </row>
    <row r="12">
      <c r="A12" s="13" t="inlineStr">
        <is>
          <t>Mumbai Orders</t>
        </is>
      </c>
      <c r="B12" s="13" t="inlineStr">
        <is>
          <t>1</t>
        </is>
      </c>
      <c r="C12" s="13" t="inlineStr">
        <is>
          <t>8</t>
        </is>
      </c>
      <c r="D12" s="13" t="inlineStr">
        <is>
          <t>M/s.WEBINTOSH TECHNOLOGIES PRIVATE LIMITED</t>
        </is>
      </c>
      <c r="E12" s="13" t="inlineStr">
        <is>
          <t>04.06.2026</t>
        </is>
      </c>
      <c r="F12" s="13" t="inlineStr">
        <is>
          <t>10.09.2026</t>
        </is>
      </c>
      <c r="G12" s="13" t="inlineStr">
        <is>
          <t>2026</t>
        </is>
      </c>
      <c r="H12" s="13" t="inlineStr">
        <is>
          <t>Classification of the 'Roasted Areca Nuts (Whole) and Roasted Areca Nuts (Cut)'</t>
        </is>
      </c>
      <c r="I12" s="13" t="inlineStr">
        <is>
          <t>Classification</t>
        </is>
      </c>
      <c r="J12" s="13" t="inlineStr">
        <is>
          <t>explicit</t>
        </is>
      </c>
      <c r="K12" s="13" t="inlineStr">
        <is>
          <t>CAAR/Mum/ARC/44/2026-27</t>
        </is>
      </c>
      <c r="L12" s="13" t="inlineStr"/>
      <c r="M12" s="13" t="inlineStr">
        <is>
          <t>NO</t>
        </is>
      </c>
    </row>
    <row r="13">
      <c r="A13" s="13" t="inlineStr">
        <is>
          <t>Mumbai Orders</t>
        </is>
      </c>
      <c r="B13" s="13" t="inlineStr">
        <is>
          <t>1</t>
        </is>
      </c>
      <c r="C13" s="13" t="inlineStr">
        <is>
          <t>9</t>
        </is>
      </c>
      <c r="D13" s="13" t="inlineStr">
        <is>
          <t>ARABIAN SEA MULTITRADE PVT. LTD</t>
        </is>
      </c>
      <c r="E13" s="13" t="inlineStr">
        <is>
          <t>10.06.2026</t>
        </is>
      </c>
      <c r="F13" s="13" t="inlineStr">
        <is>
          <t>03.09.2026</t>
        </is>
      </c>
      <c r="G13" s="13" t="inlineStr">
        <is>
          <t>2026</t>
        </is>
      </c>
      <c r="H13" s="13" t="inlineStr">
        <is>
          <t>seeking classification of the import of Roasted Areca Nuts (whole), Roasted Areca Nuts (Split), Roas</t>
        </is>
      </c>
      <c r="I13" s="13" t="inlineStr">
        <is>
          <t>Classification</t>
        </is>
      </c>
      <c r="J13" s="13" t="inlineStr">
        <is>
          <t>explicit</t>
        </is>
      </c>
      <c r="K13" s="13" t="inlineStr">
        <is>
          <t>CAAR/Mum/ARC/40,41,42 &amp; 43/2026-27</t>
        </is>
      </c>
      <c r="L13" s="14" t="inlineStr">
        <is>
          <t>https://www.cbic.gov.in/content/pdf/CONTENTREPO/CAAR/CAAR_Mum_ARC_40-41-42-43_07092026.pdf</t>
        </is>
      </c>
      <c r="M13" s="13" t="inlineStr">
        <is>
          <t>YES</t>
        </is>
      </c>
    </row>
    <row r="14">
      <c r="A14" s="13" t="inlineStr">
        <is>
          <t>Mumbai Orders</t>
        </is>
      </c>
      <c r="B14" s="13" t="inlineStr">
        <is>
          <t>1</t>
        </is>
      </c>
      <c r="C14" s="13" t="inlineStr">
        <is>
          <t>10</t>
        </is>
      </c>
      <c r="D14" s="13" t="inlineStr">
        <is>
          <t>M/s Jineshwar Impex</t>
        </is>
      </c>
      <c r="E14" s="13" t="inlineStr">
        <is>
          <t>22.06.2026</t>
        </is>
      </c>
      <c r="F14" s="13" t="inlineStr">
        <is>
          <t>27.08.2026</t>
        </is>
      </c>
      <c r="G14" s="13" t="inlineStr">
        <is>
          <t>2026</t>
        </is>
      </c>
      <c r="H14" s="13" t="inlineStr">
        <is>
          <t>Seeking classification of the "Roasted Areca Nuts (Whole/ Split/ Cut)".</t>
        </is>
      </c>
      <c r="I14" s="13" t="inlineStr">
        <is>
          <t>Classification</t>
        </is>
      </c>
      <c r="J14" s="13" t="inlineStr">
        <is>
          <t>explicit</t>
        </is>
      </c>
      <c r="K14" s="13" t="inlineStr">
        <is>
          <t>CAAR/Mum/ARC/36,37,38 &amp; 39/2026-27</t>
        </is>
      </c>
      <c r="L14" s="14" t="inlineStr">
        <is>
          <t>https://www.cbic.gov.in/content/pdf/CONTENTREPO/CAAR/CAAR_Mum_ARC_36-37-38-39_28082026.pdf</t>
        </is>
      </c>
      <c r="M14" s="13" t="inlineStr">
        <is>
          <t>YES</t>
        </is>
      </c>
    </row>
  </sheetData>
  <mergeCells count="2">
    <mergeCell ref="A2:M2"/>
    <mergeCell ref="A1:M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3" r:id="rId8"/>
    <hyperlink xmlns:r="http://schemas.openxmlformats.org/officeDocument/2006/relationships" ref="L14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4" customWidth="1" min="2" max="2"/>
    <col width="4" customWidth="1" min="3" max="3"/>
    <col width="35" customWidth="1" min="4" max="4"/>
    <col width="13" customWidth="1" min="5" max="5"/>
    <col width="13" customWidth="1" min="6" max="6"/>
    <col width="7" customWidth="1" min="7" max="7"/>
    <col width="50" customWidth="1" min="8" max="8"/>
    <col width="16" customWidth="1" min="9" max="9"/>
    <col width="11" customWidth="1" min="10" max="10"/>
    <col width="28" customWidth="1" min="11" max="11"/>
    <col width="35" customWidth="1" min="12" max="12"/>
    <col width="7" customWidth="1" min="13" max="13"/>
  </cols>
  <sheetData>
    <row r="1" ht="24" customHeight="1">
      <c r="A1" s="11" t="inlineStr">
        <is>
          <t>CAAR Litigation Analytics  -  Delhi Rulings</t>
        </is>
      </c>
    </row>
    <row r="2">
      <c r="A2" s="2" t="inlineStr">
        <is>
          <t>10 records</t>
        </is>
      </c>
    </row>
    <row r="4" ht="32" customHeight="1">
      <c r="A4" s="12" t="inlineStr">
        <is>
          <t>Section</t>
        </is>
      </c>
      <c r="B4" s="12" t="inlineStr">
        <is>
          <t>Pg</t>
        </is>
      </c>
      <c r="C4" s="12" t="inlineStr">
        <is>
          <t>Sl</t>
        </is>
      </c>
      <c r="D4" s="12" t="inlineStr">
        <is>
          <t>Applicant</t>
        </is>
      </c>
      <c r="E4" s="12" t="inlineStr">
        <is>
          <t>Date of Application</t>
        </is>
      </c>
      <c r="F4" s="12" t="inlineStr">
        <is>
          <t>Date of Ruling</t>
        </is>
      </c>
      <c r="G4" s="12" t="inlineStr">
        <is>
          <t>Year</t>
        </is>
      </c>
      <c r="H4" s="12" t="inlineStr">
        <is>
          <t>Subject</t>
        </is>
      </c>
      <c r="I4" s="12" t="inlineStr">
        <is>
          <t>Issue Type</t>
        </is>
      </c>
      <c r="J4" s="12" t="inlineStr">
        <is>
          <t>Confidence</t>
        </is>
      </c>
      <c r="K4" s="12" t="inlineStr">
        <is>
          <t>Ruling No.</t>
        </is>
      </c>
      <c r="L4" s="12" t="inlineStr">
        <is>
          <t>PDF Link</t>
        </is>
      </c>
      <c r="M4" s="12" t="inlineStr">
        <is>
          <t>PDF?</t>
        </is>
      </c>
    </row>
    <row r="5">
      <c r="A5" s="13" t="inlineStr">
        <is>
          <t>Delhi Rulings</t>
        </is>
      </c>
      <c r="B5" s="13" t="inlineStr">
        <is>
          <t>1</t>
        </is>
      </c>
      <c r="C5" s="13" t="inlineStr">
        <is>
          <t>1</t>
        </is>
      </c>
      <c r="D5" s="13" t="inlineStr">
        <is>
          <t>M/s Adit Infratel Private Ltd</t>
        </is>
      </c>
      <c r="E5" s="13" t="inlineStr">
        <is>
          <t>03.07.2026</t>
        </is>
      </c>
      <c r="F5" s="13" t="inlineStr">
        <is>
          <t>07.10.2026</t>
        </is>
      </c>
      <c r="G5" s="13" t="inlineStr">
        <is>
          <t>2026</t>
        </is>
      </c>
      <c r="H5" s="13" t="inlineStr">
        <is>
          <t>Availment of benefit of Serial No. 321 of Notification No. 45/2025- in respect of imported lithium-i</t>
        </is>
      </c>
      <c r="I5" s="13" t="inlineStr">
        <is>
          <t>Exemption</t>
        </is>
      </c>
      <c r="J5" s="13" t="inlineStr">
        <is>
          <t>explicit</t>
        </is>
      </c>
      <c r="K5" s="13" t="inlineStr">
        <is>
          <t>CAAR/DEL/ Adit Infratel/58/2026-27</t>
        </is>
      </c>
      <c r="L5" s="13" t="inlineStr"/>
      <c r="M5" s="13" t="inlineStr">
        <is>
          <t>NO</t>
        </is>
      </c>
    </row>
    <row r="6">
      <c r="A6" s="13" t="inlineStr">
        <is>
          <t>Delhi Rulings</t>
        </is>
      </c>
      <c r="B6" s="13" t="inlineStr">
        <is>
          <t>1</t>
        </is>
      </c>
      <c r="C6" s="13" t="inlineStr">
        <is>
          <t>2</t>
        </is>
      </c>
      <c r="D6" s="13" t="inlineStr">
        <is>
          <t>M/s. Sunwoda Electronic India Private Limited</t>
        </is>
      </c>
      <c r="E6" s="13" t="inlineStr">
        <is>
          <t>24.06.2026</t>
        </is>
      </c>
      <c r="F6" s="13" t="inlineStr">
        <is>
          <t>05.10.2026</t>
        </is>
      </c>
      <c r="G6" s="13" t="inlineStr">
        <is>
          <t>2026</t>
        </is>
      </c>
      <c r="H6" s="13" t="inlineStr">
        <is>
          <t>Classification of Die Cut Tape and Tape in Roll used in manufacturing of lithium-ion batteries and E</t>
        </is>
      </c>
      <c r="I6" s="13" t="inlineStr">
        <is>
          <t>Classification</t>
        </is>
      </c>
      <c r="J6" s="13" t="inlineStr">
        <is>
          <t>explicit</t>
        </is>
      </c>
      <c r="K6" s="13" t="inlineStr">
        <is>
          <t>CAAR/Del/Sunwoda/55-57/2026-27</t>
        </is>
      </c>
      <c r="L6" s="14" t="inlineStr">
        <is>
          <t>https://www.cbic.gov.in/content/pdf/CONTENTREPO/CAAR/CAAR_Del_Sunwoda_55_57_06102026.pdf</t>
        </is>
      </c>
      <c r="M6" s="13" t="inlineStr">
        <is>
          <t>YES</t>
        </is>
      </c>
    </row>
    <row r="7">
      <c r="A7" s="13" t="inlineStr">
        <is>
          <t>Delhi Rulings</t>
        </is>
      </c>
      <c r="B7" s="13" t="inlineStr">
        <is>
          <t>1</t>
        </is>
      </c>
      <c r="C7" s="13" t="inlineStr">
        <is>
          <t>3</t>
        </is>
      </c>
      <c r="D7" s="13" t="inlineStr">
        <is>
          <t>M/s. Sony India Private Limited</t>
        </is>
      </c>
      <c r="E7" s="13" t="inlineStr">
        <is>
          <t>22.05.2026</t>
        </is>
      </c>
      <c r="F7" s="13" t="inlineStr">
        <is>
          <t>29.09.2026</t>
        </is>
      </c>
      <c r="G7" s="13" t="inlineStr">
        <is>
          <t>2026</t>
        </is>
      </c>
      <c r="H7" s="13" t="inlineStr">
        <is>
          <t>Classification of Various types of print media/sheets, namely UPP-110 HG, UPP-110S, UPP-110HD, UPP-8</t>
        </is>
      </c>
      <c r="I7" s="13" t="inlineStr">
        <is>
          <t>Classification</t>
        </is>
      </c>
      <c r="J7" s="13" t="inlineStr">
        <is>
          <t>explicit</t>
        </is>
      </c>
      <c r="K7" s="13" t="inlineStr">
        <is>
          <t>CAAR/Del/Sony/54/2026-27</t>
        </is>
      </c>
      <c r="L7" s="13" t="inlineStr"/>
      <c r="M7" s="13" t="inlineStr">
        <is>
          <t>NO</t>
        </is>
      </c>
    </row>
    <row r="8">
      <c r="A8" s="13" t="inlineStr">
        <is>
          <t>Delhi Rulings</t>
        </is>
      </c>
      <c r="B8" s="13" t="inlineStr">
        <is>
          <t>1</t>
        </is>
      </c>
      <c r="C8" s="13" t="inlineStr">
        <is>
          <t>4</t>
        </is>
      </c>
      <c r="D8" s="13" t="inlineStr">
        <is>
          <t>M/s. Samsung India Electronics Private Limited</t>
        </is>
      </c>
      <c r="E8" s="13" t="inlineStr">
        <is>
          <t>30.03.2026</t>
        </is>
      </c>
      <c r="F8" s="13" t="inlineStr">
        <is>
          <t>24.09.2026</t>
        </is>
      </c>
      <c r="G8" s="13" t="inlineStr">
        <is>
          <t>2026</t>
        </is>
      </c>
      <c r="H8" s="13" t="inlineStr">
        <is>
          <t>Classification of LCD Display Assembly having Product Code No. GH96-16566A and OLED Display Assembly</t>
        </is>
      </c>
      <c r="I8" s="13" t="inlineStr">
        <is>
          <t>Classification</t>
        </is>
      </c>
      <c r="J8" s="13" t="inlineStr">
        <is>
          <t>explicit</t>
        </is>
      </c>
      <c r="K8" s="13" t="inlineStr">
        <is>
          <t>CAAR/Del/Samsung/53/2026-27</t>
        </is>
      </c>
      <c r="L8" s="13" t="inlineStr"/>
      <c r="M8" s="13" t="inlineStr">
        <is>
          <t>NO</t>
        </is>
      </c>
    </row>
    <row r="9">
      <c r="A9" s="13" t="inlineStr">
        <is>
          <t>Delhi Rulings</t>
        </is>
      </c>
      <c r="B9" s="13" t="inlineStr">
        <is>
          <t>1</t>
        </is>
      </c>
      <c r="C9" s="13" t="inlineStr">
        <is>
          <t>5</t>
        </is>
      </c>
      <c r="D9" s="13" t="inlineStr">
        <is>
          <t>M/s Mediraw Pharma &amp; Nutra Private Limited</t>
        </is>
      </c>
      <c r="E9" s="13" t="inlineStr">
        <is>
          <t>01.04.2026</t>
        </is>
      </c>
      <c r="F9" s="13" t="inlineStr">
        <is>
          <t>24.09.2026</t>
        </is>
      </c>
      <c r="G9" s="13" t="inlineStr">
        <is>
          <t>2026</t>
        </is>
      </c>
      <c r="H9" s="13" t="inlineStr">
        <is>
          <t>Classification of AstaReal(Natural Astaxanthin).</t>
        </is>
      </c>
      <c r="I9" s="13" t="inlineStr">
        <is>
          <t>Classification</t>
        </is>
      </c>
      <c r="J9" s="13" t="inlineStr">
        <is>
          <t>explicit</t>
        </is>
      </c>
      <c r="K9" s="13" t="inlineStr">
        <is>
          <t>CAAR/Del/Mediraw/52/2026-27</t>
        </is>
      </c>
      <c r="L9" s="14" t="inlineStr">
        <is>
          <t>https://www.cbic.gov.in/content/pdf/CONTENTREPO/CAAR/CAAR_Del_Mediraw_52_25092026.pdf</t>
        </is>
      </c>
      <c r="M9" s="13" t="inlineStr">
        <is>
          <t>YES</t>
        </is>
      </c>
    </row>
    <row r="10">
      <c r="A10" s="13" t="inlineStr">
        <is>
          <t>Delhi Rulings</t>
        </is>
      </c>
      <c r="B10" s="13" t="inlineStr">
        <is>
          <t>1</t>
        </is>
      </c>
      <c r="C10" s="13" t="inlineStr">
        <is>
          <t>6</t>
        </is>
      </c>
      <c r="D10" s="13" t="inlineStr">
        <is>
          <t>M/s Adit Infratel Private Ltd</t>
        </is>
      </c>
      <c r="E10" s="13" t="inlineStr">
        <is>
          <t>03.07.2026</t>
        </is>
      </c>
      <c r="F10" s="13" t="inlineStr">
        <is>
          <t>17.09.2026</t>
        </is>
      </c>
      <c r="G10" s="13" t="inlineStr">
        <is>
          <t>2026</t>
        </is>
      </c>
      <c r="H10" s="13" t="inlineStr"/>
      <c r="I10" s="13" t="inlineStr">
        <is>
          <t>Unspecified</t>
        </is>
      </c>
      <c r="J10" s="13" t="inlineStr">
        <is>
          <t>low</t>
        </is>
      </c>
      <c r="K10" s="13" t="inlineStr">
        <is>
          <t>CAAR/DEL/Adit Infratel/51/2026-27</t>
        </is>
      </c>
      <c r="L10" s="14" t="inlineStr">
        <is>
          <t>https://www.cbic.gov.in/content/pdf/CONTENTREPO/CAAR/caar-del-51-18092026.pdf</t>
        </is>
      </c>
      <c r="M10" s="13" t="inlineStr">
        <is>
          <t>YES</t>
        </is>
      </c>
    </row>
    <row r="11">
      <c r="A11" s="13" t="inlineStr">
        <is>
          <t>Delhi Rulings</t>
        </is>
      </c>
      <c r="B11" s="13" t="inlineStr">
        <is>
          <t>1</t>
        </is>
      </c>
      <c r="C11" s="13" t="inlineStr">
        <is>
          <t>7</t>
        </is>
      </c>
      <c r="D11" s="13" t="inlineStr">
        <is>
          <t>M/s OPPO Mobiles India Private Limited</t>
        </is>
      </c>
      <c r="E11" s="13" t="inlineStr">
        <is>
          <t>07.04.2026</t>
        </is>
      </c>
      <c r="F11" s="13" t="inlineStr">
        <is>
          <t>31.08.2026</t>
        </is>
      </c>
      <c r="G11" s="13" t="inlineStr">
        <is>
          <t>2026</t>
        </is>
      </c>
      <c r="H11" s="13" t="inlineStr">
        <is>
          <t>Classification of Back Cover Assembly with Battery of Tablet PCs</t>
        </is>
      </c>
      <c r="I11" s="13" t="inlineStr">
        <is>
          <t>Classification</t>
        </is>
      </c>
      <c r="J11" s="13" t="inlineStr">
        <is>
          <t>explicit</t>
        </is>
      </c>
      <c r="K11" s="13" t="inlineStr">
        <is>
          <t>CAAR/Del/OPPO/50/2026-27</t>
        </is>
      </c>
      <c r="L11" s="14" t="inlineStr">
        <is>
          <t>https://www.cbic.gov.in/content/pdf/CONTENTREPO/CAAR/caar-del-50-08092026.pdf</t>
        </is>
      </c>
      <c r="M11" s="13" t="inlineStr">
        <is>
          <t>YES</t>
        </is>
      </c>
    </row>
    <row r="12">
      <c r="A12" s="13" t="inlineStr">
        <is>
          <t>Delhi Rulings</t>
        </is>
      </c>
      <c r="B12" s="13" t="inlineStr">
        <is>
          <t>1</t>
        </is>
      </c>
      <c r="C12" s="13" t="inlineStr">
        <is>
          <t>8</t>
        </is>
      </c>
      <c r="D12" s="13" t="inlineStr">
        <is>
          <t>M/s Canon India Pvt Ltd</t>
        </is>
      </c>
      <c r="E12" s="13" t="inlineStr">
        <is>
          <t>30.03.2026</t>
        </is>
      </c>
      <c r="F12" s="13" t="inlineStr">
        <is>
          <t>27.08.2026</t>
        </is>
      </c>
      <c r="G12" s="13" t="inlineStr">
        <is>
          <t>2026</t>
        </is>
      </c>
      <c r="H12" s="13" t="inlineStr"/>
      <c r="I12" s="13" t="inlineStr">
        <is>
          <t>Unspecified</t>
        </is>
      </c>
      <c r="J12" s="13" t="inlineStr">
        <is>
          <t>low</t>
        </is>
      </c>
      <c r="K12" s="13" t="inlineStr">
        <is>
          <t>CAAR/DEL/Canon/49/2026-27</t>
        </is>
      </c>
      <c r="L12" s="13" t="inlineStr"/>
      <c r="M12" s="13" t="inlineStr">
        <is>
          <t>NO</t>
        </is>
      </c>
    </row>
    <row r="13">
      <c r="A13" s="13" t="inlineStr">
        <is>
          <t>Delhi Rulings</t>
        </is>
      </c>
      <c r="B13" s="13" t="inlineStr">
        <is>
          <t>1</t>
        </is>
      </c>
      <c r="C13" s="13" t="inlineStr">
        <is>
          <t>9</t>
        </is>
      </c>
      <c r="D13" s="13" t="inlineStr">
        <is>
          <t>M/s Volvo Auto India Private Limited</t>
        </is>
      </c>
      <c r="E13" s="13" t="inlineStr">
        <is>
          <t>20.05.2026</t>
        </is>
      </c>
      <c r="F13" s="13" t="inlineStr">
        <is>
          <t>24.08.2026</t>
        </is>
      </c>
      <c r="G13" s="13" t="inlineStr">
        <is>
          <t>2026</t>
        </is>
      </c>
      <c r="H13" s="13" t="inlineStr">
        <is>
          <t>Classification of the unassembled knocked-down kit of the electrically operated vehicle Models “EX-9</t>
        </is>
      </c>
      <c r="I13" s="13" t="inlineStr">
        <is>
          <t>Classification</t>
        </is>
      </c>
      <c r="J13" s="13" t="inlineStr">
        <is>
          <t>explicit</t>
        </is>
      </c>
      <c r="K13" s="13" t="inlineStr">
        <is>
          <t>CAAR/Del/Volvo/48/2026-27</t>
        </is>
      </c>
      <c r="L13" s="13" t="inlineStr"/>
      <c r="M13" s="13" t="inlineStr">
        <is>
          <t>NO</t>
        </is>
      </c>
    </row>
    <row r="14">
      <c r="A14" s="13" t="inlineStr">
        <is>
          <t>Delhi Rulings</t>
        </is>
      </c>
      <c r="B14" s="13" t="inlineStr">
        <is>
          <t>1</t>
        </is>
      </c>
      <c r="C14" s="13" t="inlineStr">
        <is>
          <t>10</t>
        </is>
      </c>
      <c r="D14" s="13" t="inlineStr">
        <is>
          <t>M/s Mankind Pharma Limited</t>
        </is>
      </c>
      <c r="E14" s="13" t="inlineStr">
        <is>
          <t>04.05.2026</t>
        </is>
      </c>
      <c r="F14" s="13" t="inlineStr">
        <is>
          <t>19.08.2026</t>
        </is>
      </c>
      <c r="G14" s="13" t="inlineStr">
        <is>
          <t>2026</t>
        </is>
      </c>
      <c r="H14" s="13" t="inlineStr">
        <is>
          <t>IGST leviable on Import of bulk drugs/ API (Active pharmaceutical ingredients).</t>
        </is>
      </c>
      <c r="I14" s="13" t="inlineStr">
        <is>
          <t>Classification</t>
        </is>
      </c>
      <c r="J14" s="13" t="inlineStr">
        <is>
          <t>inferred</t>
        </is>
      </c>
      <c r="K14" s="13" t="inlineStr">
        <is>
          <t>CAAR/Del/Mankind/44-45/2026</t>
        </is>
      </c>
      <c r="L14" s="14" t="inlineStr">
        <is>
          <t>https://www.cbic.gov.in/content/pdf/CONTENTREPO/CAAR/CAAR_Del_ARC_44-45_25082026.pdf</t>
        </is>
      </c>
      <c r="M14" s="13" t="inlineStr">
        <is>
          <t>YES</t>
        </is>
      </c>
    </row>
  </sheetData>
  <mergeCells count="2">
    <mergeCell ref="A2:M2"/>
    <mergeCell ref="A1:M1"/>
  </mergeCells>
  <hyperlinks>
    <hyperlink xmlns:r="http://schemas.openxmlformats.org/officeDocument/2006/relationships" ref="L6" r:id="rId1"/>
    <hyperlink xmlns:r="http://schemas.openxmlformats.org/officeDocument/2006/relationships" ref="L9" r:id="rId2"/>
    <hyperlink xmlns:r="http://schemas.openxmlformats.org/officeDocument/2006/relationships" ref="L10" r:id="rId3"/>
    <hyperlink xmlns:r="http://schemas.openxmlformats.org/officeDocument/2006/relationships" ref="L11" r:id="rId4"/>
    <hyperlink xmlns:r="http://schemas.openxmlformats.org/officeDocument/2006/relationships" ref="L14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4" customWidth="1" min="2" max="2"/>
    <col width="4" customWidth="1" min="3" max="3"/>
    <col width="35" customWidth="1" min="4" max="4"/>
    <col width="13" customWidth="1" min="5" max="5"/>
    <col width="13" customWidth="1" min="6" max="6"/>
    <col width="7" customWidth="1" min="7" max="7"/>
    <col width="50" customWidth="1" min="8" max="8"/>
    <col width="16" customWidth="1" min="9" max="9"/>
    <col width="11" customWidth="1" min="10" max="10"/>
    <col width="28" customWidth="1" min="11" max="11"/>
    <col width="35" customWidth="1" min="12" max="12"/>
    <col width="7" customWidth="1" min="13" max="13"/>
  </cols>
  <sheetData>
    <row r="1" ht="24" customHeight="1">
      <c r="A1" s="11" t="inlineStr">
        <is>
          <t>CAAR Litigation Analytics  -  Delhi Orders</t>
        </is>
      </c>
    </row>
    <row r="2">
      <c r="A2" s="2" t="inlineStr">
        <is>
          <t>10 records</t>
        </is>
      </c>
    </row>
    <row r="4" ht="32" customHeight="1">
      <c r="A4" s="12" t="inlineStr">
        <is>
          <t>Section</t>
        </is>
      </c>
      <c r="B4" s="12" t="inlineStr">
        <is>
          <t>Pg</t>
        </is>
      </c>
      <c r="C4" s="12" t="inlineStr">
        <is>
          <t>Sl</t>
        </is>
      </c>
      <c r="D4" s="12" t="inlineStr">
        <is>
          <t>Applicant</t>
        </is>
      </c>
      <c r="E4" s="12" t="inlineStr">
        <is>
          <t>Date of Application</t>
        </is>
      </c>
      <c r="F4" s="12" t="inlineStr">
        <is>
          <t>Date of Ruling</t>
        </is>
      </c>
      <c r="G4" s="12" t="inlineStr">
        <is>
          <t>Year</t>
        </is>
      </c>
      <c r="H4" s="12" t="inlineStr">
        <is>
          <t>Subject</t>
        </is>
      </c>
      <c r="I4" s="12" t="inlineStr">
        <is>
          <t>Issue Type</t>
        </is>
      </c>
      <c r="J4" s="12" t="inlineStr">
        <is>
          <t>Confidence</t>
        </is>
      </c>
      <c r="K4" s="12" t="inlineStr">
        <is>
          <t>Ruling No.</t>
        </is>
      </c>
      <c r="L4" s="12" t="inlineStr">
        <is>
          <t>PDF Link</t>
        </is>
      </c>
      <c r="M4" s="12" t="inlineStr">
        <is>
          <t>PDF?</t>
        </is>
      </c>
    </row>
    <row r="5">
      <c r="A5" s="13" t="inlineStr">
        <is>
          <t>Delhi Orders</t>
        </is>
      </c>
      <c r="B5" s="13" t="inlineStr">
        <is>
          <t>1</t>
        </is>
      </c>
      <c r="C5" s="13" t="inlineStr">
        <is>
          <t>1</t>
        </is>
      </c>
      <c r="D5" s="13" t="inlineStr">
        <is>
          <t>M/s Vardhman Vanijya Pvt. Ltd.,</t>
        </is>
      </c>
      <c r="E5" s="13" t="inlineStr">
        <is>
          <t>10.07.2026</t>
        </is>
      </c>
      <c r="F5" s="13" t="inlineStr">
        <is>
          <t>09.10.2026</t>
        </is>
      </c>
      <c r="G5" s="13" t="inlineStr">
        <is>
          <t>2026</t>
        </is>
      </c>
      <c r="H5" s="13" t="inlineStr">
        <is>
          <t>Roasted Betel nut/ Areca Nuts - Whole/ Cut</t>
        </is>
      </c>
      <c r="I5" s="13" t="inlineStr">
        <is>
          <t>Classification</t>
        </is>
      </c>
      <c r="J5" s="13" t="inlineStr">
        <is>
          <t>inferred</t>
        </is>
      </c>
      <c r="K5" s="13" t="inlineStr">
        <is>
          <t>CAAR/Del/Vardhman/57/2026-27</t>
        </is>
      </c>
      <c r="L5" s="14" t="inlineStr">
        <is>
          <t>https://www.cbic.gov.in/content/pdf/CONTENTREPO/CAAR/caar-del-ord-57-12102026.pdf</t>
        </is>
      </c>
      <c r="M5" s="13" t="inlineStr">
        <is>
          <t>YES</t>
        </is>
      </c>
    </row>
    <row r="6">
      <c r="A6" s="13" t="inlineStr">
        <is>
          <t>Delhi Orders</t>
        </is>
      </c>
      <c r="B6" s="13" t="inlineStr">
        <is>
          <t>1</t>
        </is>
      </c>
      <c r="C6" s="13" t="inlineStr">
        <is>
          <t>2</t>
        </is>
      </c>
      <c r="D6" s="13" t="inlineStr">
        <is>
          <t>M/s Apple Operations International Limited</t>
        </is>
      </c>
      <c r="E6" s="13" t="inlineStr">
        <is>
          <t>22.07.2026</t>
        </is>
      </c>
      <c r="F6" s="13" t="inlineStr">
        <is>
          <t>05.10.2026</t>
        </is>
      </c>
      <c r="G6" s="13" t="inlineStr">
        <is>
          <t>2026</t>
        </is>
      </c>
      <c r="H6" s="13" t="inlineStr">
        <is>
          <t>Classification of 'IC Modules under the First Schedule of the Customs Tariff Act, 1975'</t>
        </is>
      </c>
      <c r="I6" s="13" t="inlineStr">
        <is>
          <t>Classification</t>
        </is>
      </c>
      <c r="J6" s="13" t="inlineStr">
        <is>
          <t>explicit</t>
        </is>
      </c>
      <c r="K6" s="13" t="inlineStr">
        <is>
          <t>CAAR/Del/Apple/54-56/2026-27</t>
        </is>
      </c>
      <c r="L6" s="14" t="inlineStr">
        <is>
          <t>https://www.cbic.gov.in/content/pdf/CONTENTREPO/CAAR/CAAR_Del_Apple_54_56_06102026.pdf</t>
        </is>
      </c>
      <c r="M6" s="13" t="inlineStr">
        <is>
          <t>YES</t>
        </is>
      </c>
    </row>
    <row r="7">
      <c r="A7" s="13" t="inlineStr">
        <is>
          <t>Delhi Orders</t>
        </is>
      </c>
      <c r="B7" s="13" t="inlineStr">
        <is>
          <t>1</t>
        </is>
      </c>
      <c r="C7" s="13" t="inlineStr">
        <is>
          <t>3</t>
        </is>
      </c>
      <c r="D7" s="13" t="inlineStr">
        <is>
          <t>M/s S.R. Sales</t>
        </is>
      </c>
      <c r="E7" s="13" t="inlineStr">
        <is>
          <t>24.06.2026</t>
        </is>
      </c>
      <c r="F7" s="13" t="inlineStr">
        <is>
          <t>01.10.2026</t>
        </is>
      </c>
      <c r="G7" s="13" t="inlineStr">
        <is>
          <t>2026</t>
        </is>
      </c>
      <c r="H7" s="13" t="inlineStr">
        <is>
          <t>Roasted Areca Nuts.</t>
        </is>
      </c>
      <c r="I7" s="13" t="inlineStr">
        <is>
          <t>Classification</t>
        </is>
      </c>
      <c r="J7" s="13" t="inlineStr">
        <is>
          <t>inferred</t>
        </is>
      </c>
      <c r="K7" s="13" t="inlineStr">
        <is>
          <t>CAAR/Del/S.R.Sales/49-53/2026-27</t>
        </is>
      </c>
      <c r="L7" s="14" t="inlineStr">
        <is>
          <t>https://www.cbic.gov.in/content/pdf/CONTENTREPO/CAAR/CAAR_Del_SR_Sales_49_53_05102026.pdf</t>
        </is>
      </c>
      <c r="M7" s="13" t="inlineStr">
        <is>
          <t>YES</t>
        </is>
      </c>
    </row>
    <row r="8">
      <c r="A8" s="13" t="inlineStr">
        <is>
          <t>Delhi Orders</t>
        </is>
      </c>
      <c r="B8" s="13" t="inlineStr">
        <is>
          <t>1</t>
        </is>
      </c>
      <c r="C8" s="13" t="inlineStr">
        <is>
          <t>4</t>
        </is>
      </c>
      <c r="D8" s="13" t="inlineStr">
        <is>
          <t>M/s AS Spices</t>
        </is>
      </c>
      <c r="E8" s="13" t="inlineStr">
        <is>
          <t>01.07.2026</t>
        </is>
      </c>
      <c r="F8" s="13" t="inlineStr">
        <is>
          <t>01.10.2026</t>
        </is>
      </c>
      <c r="G8" s="13" t="inlineStr">
        <is>
          <t>2026</t>
        </is>
      </c>
      <c r="H8" s="13" t="inlineStr">
        <is>
          <t>Roasted Areca Nuts.</t>
        </is>
      </c>
      <c r="I8" s="13" t="inlineStr">
        <is>
          <t>Classification</t>
        </is>
      </c>
      <c r="J8" s="13" t="inlineStr">
        <is>
          <t>inferred</t>
        </is>
      </c>
      <c r="K8" s="13" t="inlineStr">
        <is>
          <t>CAAR/Del/AS Spices/46-48/2026-27</t>
        </is>
      </c>
      <c r="L8" s="14" t="inlineStr">
        <is>
          <t>https://www.cbic.gov.in/content/pdf/CONTENTREPO/CAAR/CAAR_Del_ASSpices_46_48_05102026.pdf</t>
        </is>
      </c>
      <c r="M8" s="13" t="inlineStr">
        <is>
          <t>YES</t>
        </is>
      </c>
    </row>
    <row r="9">
      <c r="A9" s="13" t="inlineStr">
        <is>
          <t>Delhi Orders</t>
        </is>
      </c>
      <c r="B9" s="13" t="inlineStr">
        <is>
          <t>1</t>
        </is>
      </c>
      <c r="C9" s="13" t="inlineStr">
        <is>
          <t>5</t>
        </is>
      </c>
      <c r="D9" s="13" t="inlineStr">
        <is>
          <t>M/s Ganpati Traders</t>
        </is>
      </c>
      <c r="E9" s="13" t="inlineStr">
        <is>
          <t>12.06.2026</t>
        </is>
      </c>
      <c r="F9" s="13" t="inlineStr">
        <is>
          <t>18.09.2026</t>
        </is>
      </c>
      <c r="G9" s="13" t="inlineStr">
        <is>
          <t>2026</t>
        </is>
      </c>
      <c r="H9" s="13" t="inlineStr"/>
      <c r="I9" s="13" t="inlineStr">
        <is>
          <t>Unspecified</t>
        </is>
      </c>
      <c r="J9" s="13" t="inlineStr">
        <is>
          <t>low</t>
        </is>
      </c>
      <c r="K9" s="13" t="inlineStr">
        <is>
          <t>CAAR/Del/Ganpati/41-45/2026-27</t>
        </is>
      </c>
      <c r="L9" s="14" t="inlineStr">
        <is>
          <t>https://www.cbic.gov.in/content/pdf/CONTENTREPO/CAAR/CAAR_Del_Ganpati_41-45_2026-27.pdf</t>
        </is>
      </c>
      <c r="M9" s="13" t="inlineStr">
        <is>
          <t>YES</t>
        </is>
      </c>
    </row>
    <row r="10">
      <c r="A10" s="13" t="inlineStr">
        <is>
          <t>Delhi Orders</t>
        </is>
      </c>
      <c r="B10" s="13" t="inlineStr">
        <is>
          <t>1</t>
        </is>
      </c>
      <c r="C10" s="13" t="inlineStr">
        <is>
          <t>6</t>
        </is>
      </c>
      <c r="D10" s="13" t="inlineStr">
        <is>
          <t>M/s Dira Impex,</t>
        </is>
      </c>
      <c r="E10" s="13" t="inlineStr">
        <is>
          <t>19.06.2026</t>
        </is>
      </c>
      <c r="F10" s="13" t="inlineStr">
        <is>
          <t>10.09.2026</t>
        </is>
      </c>
      <c r="G10" s="13" t="inlineStr">
        <is>
          <t>2026</t>
        </is>
      </c>
      <c r="H10" s="13" t="inlineStr">
        <is>
          <t>Roasted Areca Nuts - Whole, Split, Cut</t>
        </is>
      </c>
      <c r="I10" s="13" t="inlineStr">
        <is>
          <t>Classification</t>
        </is>
      </c>
      <c r="J10" s="13" t="inlineStr">
        <is>
          <t>inferred</t>
        </is>
      </c>
      <c r="K10" s="13" t="inlineStr">
        <is>
          <t>CAAR/DEL/Dira Impex/40/2026-27</t>
        </is>
      </c>
      <c r="L10" s="14" t="inlineStr">
        <is>
          <t>https://www.cbic.gov.in/content/pdf/CONTENTREPO/CAAR/caar-del-ord-40-28092026.pdf</t>
        </is>
      </c>
      <c r="M10" s="13" t="inlineStr">
        <is>
          <t>YES</t>
        </is>
      </c>
    </row>
    <row r="11">
      <c r="A11" s="13" t="inlineStr">
        <is>
          <t>Delhi Orders</t>
        </is>
      </c>
      <c r="B11" s="13" t="inlineStr">
        <is>
          <t>1</t>
        </is>
      </c>
      <c r="C11" s="13" t="inlineStr">
        <is>
          <t>7</t>
        </is>
      </c>
      <c r="D11" s="13" t="inlineStr">
        <is>
          <t>M/s Golden Enterprises</t>
        </is>
      </c>
      <c r="E11" s="13" t="inlineStr">
        <is>
          <t>08.05.2026</t>
        </is>
      </c>
      <c r="F11" s="13" t="inlineStr">
        <is>
          <t>03.06.2026</t>
        </is>
      </c>
      <c r="G11" s="13" t="inlineStr">
        <is>
          <t>2026</t>
        </is>
      </c>
      <c r="H11" s="13" t="inlineStr"/>
      <c r="I11" s="13" t="inlineStr">
        <is>
          <t>Unspecified</t>
        </is>
      </c>
      <c r="J11" s="13" t="inlineStr">
        <is>
          <t>low</t>
        </is>
      </c>
      <c r="K11" s="13" t="inlineStr">
        <is>
          <t>CAAR/Del/Golden/37-39/2026-27</t>
        </is>
      </c>
      <c r="L11" s="14" t="inlineStr">
        <is>
          <t>https://www.cbic.gov.in/content/pdf/CONTENTREPO/CAAR/CAAR_Del_Golden_37-39_2026-27.pdf</t>
        </is>
      </c>
      <c r="M11" s="13" t="inlineStr">
        <is>
          <t>YES</t>
        </is>
      </c>
    </row>
    <row r="12">
      <c r="A12" s="13" t="inlineStr">
        <is>
          <t>Delhi Orders</t>
        </is>
      </c>
      <c r="B12" s="13" t="inlineStr">
        <is>
          <t>1</t>
        </is>
      </c>
      <c r="C12" s="13" t="inlineStr">
        <is>
          <t>8</t>
        </is>
      </c>
      <c r="D12" s="13" t="inlineStr">
        <is>
          <t>M/s Empire Exports</t>
        </is>
      </c>
      <c r="E12" s="13" t="inlineStr">
        <is>
          <t>14.05.2026</t>
        </is>
      </c>
      <c r="F12" s="13" t="inlineStr">
        <is>
          <t>04.08.2026</t>
        </is>
      </c>
      <c r="G12" s="13" t="inlineStr">
        <is>
          <t>2026</t>
        </is>
      </c>
      <c r="H12" s="13" t="inlineStr">
        <is>
          <t>Roasted Areca Nut and Roasted Areca Nut Split</t>
        </is>
      </c>
      <c r="I12" s="13" t="inlineStr">
        <is>
          <t>Classification</t>
        </is>
      </c>
      <c r="J12" s="13" t="inlineStr">
        <is>
          <t>inferred</t>
        </is>
      </c>
      <c r="K12" s="13" t="inlineStr">
        <is>
          <t>CAAR/DEL/Empire/33-36/2026-27</t>
        </is>
      </c>
      <c r="L12" s="13" t="inlineStr"/>
      <c r="M12" s="13" t="inlineStr">
        <is>
          <t>NO</t>
        </is>
      </c>
    </row>
    <row r="13">
      <c r="A13" s="13" t="inlineStr">
        <is>
          <t>Delhi Orders</t>
        </is>
      </c>
      <c r="B13" s="13" t="inlineStr">
        <is>
          <t>1</t>
        </is>
      </c>
      <c r="C13" s="13" t="inlineStr">
        <is>
          <t>9</t>
        </is>
      </c>
      <c r="D13" s="13" t="inlineStr">
        <is>
          <t>Samkwang india Electronics Private Ltd</t>
        </is>
      </c>
      <c r="E13" s="13" t="inlineStr">
        <is>
          <t>17.03.2026</t>
        </is>
      </c>
      <c r="F13" s="13" t="inlineStr">
        <is>
          <t>31.07.2026</t>
        </is>
      </c>
      <c r="G13" s="13" t="inlineStr">
        <is>
          <t>2026</t>
        </is>
      </c>
      <c r="H13" s="13" t="inlineStr"/>
      <c r="I13" s="13" t="inlineStr">
        <is>
          <t>Unspecified</t>
        </is>
      </c>
      <c r="J13" s="13" t="inlineStr">
        <is>
          <t>low</t>
        </is>
      </c>
      <c r="K13" s="13" t="inlineStr">
        <is>
          <t>CAAR/Del/Samkwang/32/2026-27</t>
        </is>
      </c>
      <c r="L13" s="14" t="inlineStr">
        <is>
          <t>https://www.cbic.gov.in/content/pdf/CONTENTREPO/CAAR/caar-del-order-32-04082026.pdf</t>
        </is>
      </c>
      <c r="M13" s="13" t="inlineStr">
        <is>
          <t>YES</t>
        </is>
      </c>
    </row>
    <row r="14">
      <c r="A14" s="13" t="inlineStr">
        <is>
          <t>Delhi Orders</t>
        </is>
      </c>
      <c r="B14" s="13" t="inlineStr">
        <is>
          <t>1</t>
        </is>
      </c>
      <c r="C14" s="13" t="inlineStr">
        <is>
          <t>10</t>
        </is>
      </c>
      <c r="D14" s="13" t="inlineStr">
        <is>
          <t>M/s Ram Charan Barui Enterprise,</t>
        </is>
      </c>
      <c r="E14" s="13" t="inlineStr">
        <is>
          <t>27.04.2026</t>
        </is>
      </c>
      <c r="F14" s="13" t="inlineStr">
        <is>
          <t>20.07.2026</t>
        </is>
      </c>
      <c r="G14" s="13" t="inlineStr">
        <is>
          <t>2026</t>
        </is>
      </c>
      <c r="H14" s="13" t="inlineStr">
        <is>
          <t>classification of product namely ‘Roasted Betelnut/Areca Nut(whole/cut)’</t>
        </is>
      </c>
      <c r="I14" s="13" t="inlineStr">
        <is>
          <t>Classification</t>
        </is>
      </c>
      <c r="J14" s="13" t="inlineStr">
        <is>
          <t>explicit</t>
        </is>
      </c>
      <c r="K14" s="13" t="inlineStr">
        <is>
          <t>CAAR/Del/Ram Charan Barui Enterprise./31/2026</t>
        </is>
      </c>
      <c r="L14" s="13" t="inlineStr"/>
      <c r="M14" s="13" t="inlineStr">
        <is>
          <t>NO</t>
        </is>
      </c>
    </row>
  </sheetData>
  <mergeCells count="2">
    <mergeCell ref="A2:M2"/>
    <mergeCell ref="A1:M1"/>
  </mergeCells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  <hyperlink xmlns:r="http://schemas.openxmlformats.org/officeDocument/2006/relationships" ref="L10" r:id="rId6"/>
    <hyperlink xmlns:r="http://schemas.openxmlformats.org/officeDocument/2006/relationships" ref="L11" r:id="rId7"/>
    <hyperlink xmlns:r="http://schemas.openxmlformats.org/officeDocument/2006/relationships" ref="L13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2026-10-18T00:11:43Z</dcterms:created>
  <dcterms:modified xsi:type="dcterms:W3CDTF">2026-10-18T00:11:43Z</dcterms:modified>
</cp:coreProperties>
</file>